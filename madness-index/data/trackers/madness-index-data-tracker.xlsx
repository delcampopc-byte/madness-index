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07f75603ee8f9f/Documents/madness-index/"/>
    </mc:Choice>
  </mc:AlternateContent>
  <xr:revisionPtr revIDLastSave="0" documentId="8_{5742C726-045E-47D2-AE60-926ED53CD313}" xr6:coauthVersionLast="47" xr6:coauthVersionMax="47" xr10:uidLastSave="{00000000-0000-0000-0000-000000000000}"/>
  <bookViews>
    <workbookView xWindow="-98" yWindow="-98" windowWidth="19396" windowHeight="10395" activeTab="2" xr2:uid="{26BBA1BF-D5C1-42E4-9961-E12373500A50}"/>
  </bookViews>
  <sheets>
    <sheet name="2025 Results" sheetId="24" r:id="rId1"/>
    <sheet name="2024 - 2025" sheetId="23" r:id="rId2"/>
    <sheet name="2025 - 2026" sheetId="2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22" l="1"/>
  <c r="P66" i="23"/>
  <c r="AD66" i="22"/>
  <c r="AC66" i="22"/>
  <c r="AB66" i="22"/>
  <c r="AA66" i="22"/>
  <c r="X66" i="23"/>
  <c r="T66" i="23"/>
  <c r="W66" i="23"/>
  <c r="AB66" i="23"/>
  <c r="AA66" i="23"/>
  <c r="Z66" i="23"/>
  <c r="Y66" i="23"/>
  <c r="U66" i="23"/>
  <c r="S66" i="23"/>
  <c r="R66" i="23"/>
  <c r="Q66" i="23"/>
  <c r="O66" i="23"/>
  <c r="N66" i="23"/>
  <c r="L66" i="23"/>
  <c r="K66" i="23"/>
  <c r="J66" i="23"/>
  <c r="I66" i="23"/>
  <c r="H66" i="23"/>
  <c r="G66" i="23"/>
  <c r="F66" i="23"/>
  <c r="E66" i="23"/>
  <c r="D66" i="23"/>
  <c r="C66" i="23"/>
  <c r="AD66" i="23"/>
  <c r="AC66" i="23"/>
  <c r="V66" i="23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L66" i="22"/>
  <c r="K66" i="22"/>
  <c r="J66" i="22"/>
  <c r="I66" i="22"/>
  <c r="H66" i="22"/>
  <c r="G66" i="22"/>
  <c r="F66" i="22"/>
  <c r="E66" i="22"/>
  <c r="D66" i="22"/>
  <c r="C66" i="22"/>
</calcChain>
</file>

<file path=xl/sharedStrings.xml><?xml version="1.0" encoding="utf-8"?>
<sst xmlns="http://schemas.openxmlformats.org/spreadsheetml/2006/main" count="507" uniqueCount="110">
  <si>
    <t>OFF. Eff.</t>
  </si>
  <si>
    <t>DEF. Eff.</t>
  </si>
  <si>
    <t>BYU</t>
  </si>
  <si>
    <t>UCLA</t>
  </si>
  <si>
    <t>UCONN</t>
  </si>
  <si>
    <t>VCU</t>
  </si>
  <si>
    <t>UNCW</t>
  </si>
  <si>
    <t>Seed</t>
  </si>
  <si>
    <t>Tempo</t>
  </si>
  <si>
    <t>ORB %</t>
  </si>
  <si>
    <t>TO%</t>
  </si>
  <si>
    <t>FTA/FGA</t>
  </si>
  <si>
    <t>3P%</t>
  </si>
  <si>
    <t>3P Rate</t>
  </si>
  <si>
    <t>Auburn</t>
  </si>
  <si>
    <t>Louisville</t>
  </si>
  <si>
    <t>Creighton</t>
  </si>
  <si>
    <t>Michigan</t>
  </si>
  <si>
    <t>Yale</t>
  </si>
  <si>
    <t>Ole Miss</t>
  </si>
  <si>
    <t>Iowa State</t>
  </si>
  <si>
    <t>Lipscomb</t>
  </si>
  <si>
    <t>Marquette</t>
  </si>
  <si>
    <t>New Mexico</t>
  </si>
  <si>
    <t>Michigan State</t>
  </si>
  <si>
    <t>Bryant</t>
  </si>
  <si>
    <t>Florida</t>
  </si>
  <si>
    <t>Oklahoma</t>
  </si>
  <si>
    <t>Memphis</t>
  </si>
  <si>
    <t>Colorado State</t>
  </si>
  <si>
    <t>Maryland</t>
  </si>
  <si>
    <t>Grand Canyon</t>
  </si>
  <si>
    <t>Missouri</t>
  </si>
  <si>
    <t>Drake</t>
  </si>
  <si>
    <t>Texas Tech</t>
  </si>
  <si>
    <t>Kansas</t>
  </si>
  <si>
    <t>Arkansas</t>
  </si>
  <si>
    <t>St. John's</t>
  </si>
  <si>
    <t>Omaha</t>
  </si>
  <si>
    <t>Duke</t>
  </si>
  <si>
    <t>Baylor</t>
  </si>
  <si>
    <t>Oregon</t>
  </si>
  <si>
    <t>Liberty</t>
  </si>
  <si>
    <t>Arizona</t>
  </si>
  <si>
    <t>Akron</t>
  </si>
  <si>
    <t>Wisconsin</t>
  </si>
  <si>
    <t>Montana</t>
  </si>
  <si>
    <t>St. Mary's</t>
  </si>
  <si>
    <t>Vanderbilt</t>
  </si>
  <si>
    <t>Alabama</t>
  </si>
  <si>
    <t>Robert Morris</t>
  </si>
  <si>
    <t>Houston</t>
  </si>
  <si>
    <t>Gonzaga</t>
  </si>
  <si>
    <t>Georgia</t>
  </si>
  <si>
    <t>Clemson</t>
  </si>
  <si>
    <t>Purdue</t>
  </si>
  <si>
    <t>High Point</t>
  </si>
  <si>
    <t>Illinois</t>
  </si>
  <si>
    <t>Kentucky</t>
  </si>
  <si>
    <t>Troy</t>
  </si>
  <si>
    <t>Utah State</t>
  </si>
  <si>
    <t>Tennessee</t>
  </si>
  <si>
    <t>Wofford</t>
  </si>
  <si>
    <t>eFG%</t>
  </si>
  <si>
    <t>Def. eFG%</t>
  </si>
  <si>
    <t>Close Game Win %</t>
  </si>
  <si>
    <t>Wins</t>
  </si>
  <si>
    <t>Losses</t>
  </si>
  <si>
    <t xml:space="preserve">Strength of Schedule </t>
  </si>
  <si>
    <t>Texas A&amp;M</t>
  </si>
  <si>
    <t>Mississippi State</t>
  </si>
  <si>
    <t>UC San Diego</t>
  </si>
  <si>
    <t>McNeese State</t>
  </si>
  <si>
    <t>Xavier</t>
  </si>
  <si>
    <t>SIU Edwardsville</t>
  </si>
  <si>
    <t>Alabama State</t>
  </si>
  <si>
    <t>Sweet 16</t>
  </si>
  <si>
    <t>Elite 8</t>
  </si>
  <si>
    <t>Championship Game</t>
  </si>
  <si>
    <t>True Shooting %</t>
  </si>
  <si>
    <t xml:space="preserve">% of Points from 2 </t>
  </si>
  <si>
    <t>% of Points from 3</t>
  </si>
  <si>
    <t>% of Points from FT</t>
  </si>
  <si>
    <t>Effective Possession Ratio</t>
  </si>
  <si>
    <t>Extra Scoring Chances/game</t>
  </si>
  <si>
    <t>Efficiency Margin</t>
  </si>
  <si>
    <t>Non-blocked 2pt %</t>
  </si>
  <si>
    <t>Team</t>
  </si>
  <si>
    <t>Opp. Asst./Poss.</t>
  </si>
  <si>
    <t>Opp. TO/poss.</t>
  </si>
  <si>
    <t>Opp. FTA/FGA</t>
  </si>
  <si>
    <t>UNC</t>
  </si>
  <si>
    <t>Final Four</t>
  </si>
  <si>
    <t>Second Round</t>
  </si>
  <si>
    <t>First Round</t>
  </si>
  <si>
    <t>Norfolk State</t>
  </si>
  <si>
    <t>Mt. Saint Mary's</t>
  </si>
  <si>
    <t>Steals per Possession</t>
  </si>
  <si>
    <t>Averages</t>
  </si>
  <si>
    <t>Opp. 3PT%</t>
  </si>
  <si>
    <t>Opp. 3P Rate</t>
  </si>
  <si>
    <t>Block %</t>
  </si>
  <si>
    <t>DRB %</t>
  </si>
  <si>
    <t>WINNER</t>
  </si>
  <si>
    <t>Opp. Asst./Poss</t>
  </si>
  <si>
    <t>Opp. TO/poss</t>
  </si>
  <si>
    <t>Round</t>
  </si>
  <si>
    <t>Winner</t>
  </si>
  <si>
    <t>Champ. Game</t>
  </si>
  <si>
    <t>FT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</si>
</sst>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0" fontId="0" fillId="0" borderId="9" xfId="0" applyBorder="1"/>
    <xf numFmtId="0" fontId="2" fillId="3" borderId="3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2" xfId="0" applyNumberFormat="1" applyBorder="1" applyAlignment="1">
      <alignment horizontal="center" vertical="center" wrapText="1"/>
    </xf>
    <xf numFmtId="10" fontId="0" fillId="3" borderId="5" xfId="0" applyNumberFormat="1" applyFill="1" applyBorder="1" applyAlignment="1">
      <alignment horizontal="center" vertical="center" wrapText="1"/>
    </xf>
    <xf numFmtId="10" fontId="0" fillId="3" borderId="3" xfId="0" applyNumberForma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/>
    <xf numFmtId="0" fontId="2" fillId="4" borderId="3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165" fontId="0" fillId="0" borderId="2" xfId="0" applyNumberFormat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/>
    </xf>
    <xf numFmtId="10" fontId="0" fillId="0" borderId="3" xfId="0" applyNumberFormat="1" applyBorder="1"/>
    <xf numFmtId="10" fontId="0" fillId="0" borderId="1" xfId="0" applyNumberFormat="1" applyBorder="1"/>
    <xf numFmtId="10" fontId="0" fillId="3" borderId="3" xfId="0" applyNumberFormat="1" applyFill="1" applyBorder="1" applyAlignment="1">
      <alignment horizontal="center" vertical="center"/>
    </xf>
    <xf numFmtId="10" fontId="0" fillId="0" borderId="5" xfId="0" applyNumberFormat="1" applyBorder="1"/>
    <xf numFmtId="10" fontId="2" fillId="0" borderId="3" xfId="0" applyNumberFormat="1" applyFont="1" applyBorder="1"/>
    <xf numFmtId="166" fontId="0" fillId="0" borderId="3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AA55-A4B4-4EA6-9769-F5053494B3E7}">
  <dimension ref="A1:AI824"/>
  <sheetViews>
    <sheetView zoomScale="80" zoomScaleNormal="80" workbookViewId="0">
      <selection activeCell="I68" sqref="I68"/>
    </sheetView>
  </sheetViews>
  <sheetFormatPr defaultRowHeight="14.25" x14ac:dyDescent="0.45"/>
  <cols>
    <col min="1" max="1" width="14" style="31" bestFit="1" customWidth="1"/>
    <col min="2" max="2" width="16" bestFit="1" customWidth="1"/>
    <col min="4" max="4" width="11.86328125" style="59" customWidth="1"/>
  </cols>
  <sheetData>
    <row r="1" spans="1:34" ht="57.4" thickBot="1" x14ac:dyDescent="0.5">
      <c r="A1" s="48" t="s">
        <v>106</v>
      </c>
      <c r="B1" s="3" t="s">
        <v>87</v>
      </c>
      <c r="C1" s="56" t="s">
        <v>7</v>
      </c>
      <c r="D1" s="3" t="s">
        <v>107</v>
      </c>
      <c r="E1" s="57" t="s">
        <v>0</v>
      </c>
      <c r="F1" s="3" t="s">
        <v>1</v>
      </c>
      <c r="G1" s="3" t="s">
        <v>85</v>
      </c>
      <c r="H1" s="3" t="s">
        <v>80</v>
      </c>
      <c r="I1" s="3" t="s">
        <v>81</v>
      </c>
      <c r="J1" s="3" t="s">
        <v>82</v>
      </c>
      <c r="K1" s="3" t="s">
        <v>79</v>
      </c>
      <c r="L1" s="3" t="s">
        <v>12</v>
      </c>
      <c r="M1" s="3" t="s">
        <v>13</v>
      </c>
      <c r="N1" s="3" t="s">
        <v>63</v>
      </c>
      <c r="O1" s="3" t="s">
        <v>11</v>
      </c>
      <c r="P1" s="3" t="s">
        <v>8</v>
      </c>
      <c r="Q1" s="3" t="s">
        <v>83</v>
      </c>
      <c r="R1" s="3" t="s">
        <v>84</v>
      </c>
      <c r="S1" s="3" t="s">
        <v>86</v>
      </c>
      <c r="T1" s="3" t="s">
        <v>9</v>
      </c>
      <c r="U1" s="34" t="s">
        <v>102</v>
      </c>
      <c r="V1" s="3" t="s">
        <v>10</v>
      </c>
      <c r="W1" s="33" t="s">
        <v>99</v>
      </c>
      <c r="X1" s="33" t="s">
        <v>100</v>
      </c>
      <c r="Y1" s="34" t="s">
        <v>101</v>
      </c>
      <c r="Z1" s="3" t="s">
        <v>64</v>
      </c>
      <c r="AA1" s="17" t="s">
        <v>97</v>
      </c>
      <c r="AB1" s="3" t="s">
        <v>88</v>
      </c>
      <c r="AC1" s="3" t="s">
        <v>89</v>
      </c>
      <c r="AD1" s="3" t="s">
        <v>90</v>
      </c>
      <c r="AE1" s="20" t="s">
        <v>65</v>
      </c>
      <c r="AF1" s="3" t="s">
        <v>66</v>
      </c>
      <c r="AG1" s="3" t="s">
        <v>67</v>
      </c>
      <c r="AH1" s="3" t="s">
        <v>68</v>
      </c>
    </row>
    <row r="2" spans="1:34" x14ac:dyDescent="0.45">
      <c r="A2" s="90" t="s">
        <v>94</v>
      </c>
      <c r="B2" s="49" t="s">
        <v>14</v>
      </c>
      <c r="C2" s="52">
        <v>1</v>
      </c>
      <c r="D2" s="82" t="s">
        <v>14</v>
      </c>
      <c r="E2" s="51">
        <v>1.1819999999999999</v>
      </c>
      <c r="F2" s="2">
        <v>0.98099999999999998</v>
      </c>
      <c r="G2" s="2">
        <v>0.20100000000000001</v>
      </c>
      <c r="H2" s="2">
        <v>48.8</v>
      </c>
      <c r="I2" s="2">
        <v>32.799999999999997</v>
      </c>
      <c r="J2" s="2">
        <v>18.3</v>
      </c>
      <c r="K2" s="2">
        <v>117.1</v>
      </c>
      <c r="L2" s="2">
        <v>36.799999999999997</v>
      </c>
      <c r="M2" s="2">
        <v>40.6</v>
      </c>
      <c r="N2" s="2">
        <v>55.7</v>
      </c>
      <c r="O2" s="2">
        <v>0.33500000000000002</v>
      </c>
      <c r="P2" s="2">
        <v>70.900000000000006</v>
      </c>
      <c r="Q2" s="2">
        <v>1.014</v>
      </c>
      <c r="R2" s="2">
        <v>4.3</v>
      </c>
      <c r="S2" s="2">
        <v>60.5</v>
      </c>
      <c r="T2" s="2">
        <v>33.299999999999997</v>
      </c>
      <c r="U2" s="2">
        <v>0.73199999999999998</v>
      </c>
      <c r="V2" s="2">
        <v>13</v>
      </c>
      <c r="W2" s="2">
        <v>29.8</v>
      </c>
      <c r="X2" s="2">
        <v>35.299999999999997</v>
      </c>
      <c r="Y2" s="2">
        <v>0.10199999999999999</v>
      </c>
      <c r="Z2" s="2">
        <v>46</v>
      </c>
      <c r="AA2" s="2">
        <v>9.5000000000000001E-2</v>
      </c>
      <c r="AB2" s="2">
        <v>0.13500000000000001</v>
      </c>
      <c r="AC2" s="2">
        <v>0.16800000000000001</v>
      </c>
      <c r="AD2" s="2">
        <v>0.39200000000000002</v>
      </c>
      <c r="AE2" s="2">
        <v>0.77800000000000002</v>
      </c>
      <c r="AF2" s="2">
        <v>28</v>
      </c>
      <c r="AG2" s="2">
        <v>5</v>
      </c>
      <c r="AH2" s="2">
        <v>3</v>
      </c>
    </row>
    <row r="3" spans="1:34" x14ac:dyDescent="0.45">
      <c r="A3" s="80"/>
      <c r="B3" s="51" t="s">
        <v>75</v>
      </c>
      <c r="C3" s="52">
        <v>16</v>
      </c>
      <c r="D3" s="89"/>
      <c r="E3" s="51">
        <v>1.0089999999999999</v>
      </c>
      <c r="F3" s="2">
        <v>1.02</v>
      </c>
      <c r="G3" s="2">
        <v>-1.0999999999999999E-2</v>
      </c>
      <c r="H3" s="2">
        <v>45.7</v>
      </c>
      <c r="I3" s="2">
        <v>36.6</v>
      </c>
      <c r="J3" s="2">
        <v>17.7</v>
      </c>
      <c r="K3" s="2">
        <v>100.2</v>
      </c>
      <c r="L3" s="2">
        <v>32.6</v>
      </c>
      <c r="M3" s="2">
        <v>42.7</v>
      </c>
      <c r="N3" s="2">
        <v>47</v>
      </c>
      <c r="O3" s="2">
        <v>0.29099999999999998</v>
      </c>
      <c r="P3" s="2">
        <v>71.2</v>
      </c>
      <c r="Q3" s="2">
        <v>1.002</v>
      </c>
      <c r="R3" s="2">
        <v>4</v>
      </c>
      <c r="S3" s="2">
        <v>50.2</v>
      </c>
      <c r="T3" s="2">
        <v>25.6</v>
      </c>
      <c r="U3" s="2">
        <v>0.71299999999999997</v>
      </c>
      <c r="V3" s="2">
        <v>12.8</v>
      </c>
      <c r="W3" s="2">
        <v>33.700000000000003</v>
      </c>
      <c r="X3" s="2">
        <v>40.200000000000003</v>
      </c>
      <c r="Y3" s="2">
        <v>0.05</v>
      </c>
      <c r="Z3" s="2">
        <v>50.7</v>
      </c>
      <c r="AA3" s="2">
        <v>0.109</v>
      </c>
      <c r="AB3" s="2">
        <v>0.17799999999999999</v>
      </c>
      <c r="AC3" s="2">
        <v>0.182</v>
      </c>
      <c r="AD3" s="2">
        <v>0.38900000000000001</v>
      </c>
      <c r="AE3" s="2">
        <v>0.75</v>
      </c>
      <c r="AF3" s="2">
        <v>20</v>
      </c>
      <c r="AG3" s="2">
        <v>15</v>
      </c>
      <c r="AH3" s="2">
        <v>318</v>
      </c>
    </row>
    <row r="4" spans="1:34" ht="14.65" thickBot="1" x14ac:dyDescent="0.5">
      <c r="A4" s="80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</row>
    <row r="5" spans="1:34" x14ac:dyDescent="0.45">
      <c r="A5" s="80"/>
      <c r="B5" s="49" t="s">
        <v>26</v>
      </c>
      <c r="C5" s="52">
        <v>1</v>
      </c>
      <c r="D5" s="82" t="s">
        <v>26</v>
      </c>
      <c r="E5" s="51">
        <v>1.1779999999999999</v>
      </c>
      <c r="F5" s="2">
        <v>0.95499999999999996</v>
      </c>
      <c r="G5" s="2">
        <v>0.27100000000000002</v>
      </c>
      <c r="H5" s="2">
        <v>47</v>
      </c>
      <c r="I5" s="2">
        <v>34.799999999999997</v>
      </c>
      <c r="J5" s="2">
        <v>18.100000000000001</v>
      </c>
      <c r="K5" s="2">
        <v>116</v>
      </c>
      <c r="L5" s="2">
        <v>35.5</v>
      </c>
      <c r="M5" s="2">
        <v>43.6</v>
      </c>
      <c r="N5" s="2">
        <v>55</v>
      </c>
      <c r="O5" s="2">
        <v>0.32600000000000001</v>
      </c>
      <c r="P5" s="2">
        <v>72.5</v>
      </c>
      <c r="Q5" s="2">
        <v>1.022</v>
      </c>
      <c r="R5" s="2">
        <v>3.7</v>
      </c>
      <c r="S5" s="2">
        <v>61.6</v>
      </c>
      <c r="T5" s="2">
        <v>36.9</v>
      </c>
      <c r="U5" s="2">
        <v>0.73099999999999998</v>
      </c>
      <c r="V5" s="2">
        <v>14.7</v>
      </c>
      <c r="W5" s="2">
        <v>29.4</v>
      </c>
      <c r="X5" s="2">
        <v>37.200000000000003</v>
      </c>
      <c r="Y5" s="2">
        <v>7.2999999999999995E-2</v>
      </c>
      <c r="Z5" s="2">
        <v>45.3</v>
      </c>
      <c r="AA5" s="2">
        <v>0.104</v>
      </c>
      <c r="AB5" s="2">
        <v>0.155</v>
      </c>
      <c r="AC5" s="2">
        <v>0.16400000000000001</v>
      </c>
      <c r="AD5" s="2">
        <v>0.33</v>
      </c>
      <c r="AE5" s="2">
        <v>0.5</v>
      </c>
      <c r="AF5" s="2">
        <v>30</v>
      </c>
      <c r="AG5" s="2">
        <v>4</v>
      </c>
      <c r="AH5" s="2">
        <v>32</v>
      </c>
    </row>
    <row r="6" spans="1:34" x14ac:dyDescent="0.45">
      <c r="A6" s="80"/>
      <c r="B6" s="49" t="s">
        <v>95</v>
      </c>
      <c r="C6" s="52">
        <v>16</v>
      </c>
      <c r="D6" s="89"/>
      <c r="E6" s="51">
        <v>1.075</v>
      </c>
      <c r="F6" s="2">
        <v>1.0329999999999999</v>
      </c>
      <c r="G6" s="2">
        <v>4.2000000000000003E-2</v>
      </c>
      <c r="H6" s="2">
        <v>59.2</v>
      </c>
      <c r="I6" s="2">
        <v>19.100000000000001</v>
      </c>
      <c r="J6" s="2">
        <v>21.7</v>
      </c>
      <c r="K6" s="2">
        <v>112.8</v>
      </c>
      <c r="L6" s="2">
        <v>30.8</v>
      </c>
      <c r="M6" s="2">
        <v>27.6</v>
      </c>
      <c r="N6" s="2">
        <v>52.2</v>
      </c>
      <c r="O6" s="2">
        <v>0.38400000000000001</v>
      </c>
      <c r="P6" s="2">
        <v>69.5</v>
      </c>
      <c r="Q6" s="2">
        <v>0.94199999999999995</v>
      </c>
      <c r="R6" s="2">
        <v>-2.2999999999999998</v>
      </c>
      <c r="S6" s="2">
        <v>60.2</v>
      </c>
      <c r="T6" s="2">
        <v>29.8</v>
      </c>
      <c r="U6" s="2">
        <v>0.66400000000000003</v>
      </c>
      <c r="V6" s="2">
        <v>17.8</v>
      </c>
      <c r="W6" s="2">
        <v>33.799999999999997</v>
      </c>
      <c r="X6" s="2">
        <v>43.1</v>
      </c>
      <c r="Y6" s="2">
        <v>5.0999999999999997E-2</v>
      </c>
      <c r="Z6" s="2">
        <v>50</v>
      </c>
      <c r="AA6" s="2">
        <v>9.2999999999999999E-2</v>
      </c>
      <c r="AB6" s="2">
        <v>0.21</v>
      </c>
      <c r="AC6" s="2">
        <v>0.182</v>
      </c>
      <c r="AD6" s="2">
        <v>0.35499999999999998</v>
      </c>
      <c r="AE6" s="2">
        <v>0.625</v>
      </c>
      <c r="AF6" s="2">
        <v>24</v>
      </c>
      <c r="AG6" s="2">
        <v>10</v>
      </c>
      <c r="AH6" s="2">
        <v>301</v>
      </c>
    </row>
    <row r="7" spans="1:34" ht="14.65" thickBot="1" x14ac:dyDescent="0.5">
      <c r="A7" s="8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</row>
    <row r="8" spans="1:34" x14ac:dyDescent="0.45">
      <c r="A8" s="80"/>
      <c r="B8" s="49" t="s">
        <v>39</v>
      </c>
      <c r="C8" s="42">
        <v>1</v>
      </c>
      <c r="D8" s="82" t="s">
        <v>39</v>
      </c>
      <c r="E8" s="49">
        <v>1.2110000000000001</v>
      </c>
      <c r="F8" s="1">
        <v>0.90700000000000003</v>
      </c>
      <c r="G8" s="1">
        <v>0.30399999999999999</v>
      </c>
      <c r="H8" s="1">
        <v>45.1</v>
      </c>
      <c r="I8" s="1">
        <v>36.9</v>
      </c>
      <c r="J8" s="1">
        <v>18</v>
      </c>
      <c r="K8" s="1">
        <v>123</v>
      </c>
      <c r="L8" s="1">
        <v>37.700000000000003</v>
      </c>
      <c r="M8" s="1">
        <v>45.4</v>
      </c>
      <c r="N8" s="1">
        <v>57.4</v>
      </c>
      <c r="O8" s="1">
        <v>0.32100000000000001</v>
      </c>
      <c r="P8" s="1">
        <v>68.3</v>
      </c>
      <c r="Q8" s="1">
        <v>1.004</v>
      </c>
      <c r="R8" s="1">
        <v>3.8</v>
      </c>
      <c r="S8" s="1">
        <v>64.400000000000006</v>
      </c>
      <c r="T8" s="1">
        <v>34.1</v>
      </c>
      <c r="U8" s="1">
        <v>0.76300000000000001</v>
      </c>
      <c r="V8" s="1">
        <v>14</v>
      </c>
      <c r="W8" s="1">
        <v>31.1</v>
      </c>
      <c r="X8" s="1">
        <v>38.299999999999997</v>
      </c>
      <c r="Y8" s="1">
        <v>6.7000000000000004E-2</v>
      </c>
      <c r="Z8" s="1">
        <v>44.5</v>
      </c>
      <c r="AA8" s="1">
        <v>9.9000000000000005E-2</v>
      </c>
      <c r="AB8" s="1">
        <v>0.16600000000000001</v>
      </c>
      <c r="AC8" s="1">
        <v>0.16700000000000001</v>
      </c>
      <c r="AD8" s="1">
        <v>0.254</v>
      </c>
      <c r="AE8" s="1">
        <v>0.33300000000000002</v>
      </c>
      <c r="AF8" s="1">
        <v>31</v>
      </c>
      <c r="AG8" s="1">
        <v>3</v>
      </c>
      <c r="AH8" s="1">
        <v>37</v>
      </c>
    </row>
    <row r="9" spans="1:34" x14ac:dyDescent="0.45">
      <c r="A9" s="80"/>
      <c r="B9" s="49" t="s">
        <v>96</v>
      </c>
      <c r="C9" s="42">
        <v>16</v>
      </c>
      <c r="D9" s="89"/>
      <c r="E9" s="49">
        <v>0.99099999999999999</v>
      </c>
      <c r="F9" s="1">
        <v>1.012</v>
      </c>
      <c r="G9" s="1">
        <v>-2.1000000000000001E-2</v>
      </c>
      <c r="H9" s="1">
        <v>47.7</v>
      </c>
      <c r="I9" s="1">
        <v>34.299999999999997</v>
      </c>
      <c r="J9" s="1">
        <v>18</v>
      </c>
      <c r="K9" s="1">
        <v>108.4</v>
      </c>
      <c r="L9" s="1">
        <v>34.5</v>
      </c>
      <c r="M9" s="1">
        <v>41.1</v>
      </c>
      <c r="N9" s="1">
        <v>50.9</v>
      </c>
      <c r="O9" s="1">
        <v>0.30499999999999999</v>
      </c>
      <c r="P9" s="1">
        <v>69.900000000000006</v>
      </c>
      <c r="Q9" s="1">
        <v>0.91100000000000003</v>
      </c>
      <c r="R9" s="1">
        <v>-4.7</v>
      </c>
      <c r="S9" s="1">
        <v>55.7</v>
      </c>
      <c r="T9" s="1">
        <v>28.1</v>
      </c>
      <c r="U9" s="1">
        <v>0.73499999999999999</v>
      </c>
      <c r="V9" s="1">
        <v>21</v>
      </c>
      <c r="W9" s="1">
        <v>31.8</v>
      </c>
      <c r="X9" s="1">
        <v>45.2</v>
      </c>
      <c r="Y9" s="1">
        <v>4.2999999999999997E-2</v>
      </c>
      <c r="Z9" s="1">
        <v>48.7</v>
      </c>
      <c r="AA9" s="1">
        <v>8.4000000000000005E-2</v>
      </c>
      <c r="AB9" s="1">
        <v>0.189</v>
      </c>
      <c r="AC9" s="1">
        <v>0.153</v>
      </c>
      <c r="AD9" s="1">
        <v>0.26</v>
      </c>
      <c r="AE9" s="1">
        <v>0.77800000000000002</v>
      </c>
      <c r="AF9" s="1">
        <v>23</v>
      </c>
      <c r="AG9" s="1">
        <v>12</v>
      </c>
      <c r="AH9" s="1">
        <v>294</v>
      </c>
    </row>
    <row r="10" spans="1:34" ht="14.65" thickBot="1" x14ac:dyDescent="0.5">
      <c r="A10" s="80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</row>
    <row r="11" spans="1:34" x14ac:dyDescent="0.45">
      <c r="A11" s="80"/>
      <c r="B11" s="49" t="s">
        <v>51</v>
      </c>
      <c r="C11" s="52">
        <v>1</v>
      </c>
      <c r="D11" s="82" t="s">
        <v>51</v>
      </c>
      <c r="E11" s="51">
        <v>1.131</v>
      </c>
      <c r="F11" s="2">
        <v>0.89100000000000001</v>
      </c>
      <c r="G11" s="2">
        <v>0.24</v>
      </c>
      <c r="H11" s="2">
        <v>50.7</v>
      </c>
      <c r="I11" s="2">
        <v>32.700000000000003</v>
      </c>
      <c r="J11" s="2">
        <v>16.600000000000001</v>
      </c>
      <c r="K11" s="2">
        <v>111.2</v>
      </c>
      <c r="L11" s="2">
        <v>39.799999999999997</v>
      </c>
      <c r="M11" s="2">
        <v>34.5</v>
      </c>
      <c r="N11" s="2">
        <v>52.7</v>
      </c>
      <c r="O11" s="2">
        <v>0.28199999999999997</v>
      </c>
      <c r="P11" s="2">
        <v>65.599999999999994</v>
      </c>
      <c r="Q11" s="2">
        <v>1.026</v>
      </c>
      <c r="R11" s="2">
        <v>8.1999999999999993</v>
      </c>
      <c r="S11" s="2">
        <v>52.3</v>
      </c>
      <c r="T11" s="2">
        <v>35.700000000000003</v>
      </c>
      <c r="U11" s="2">
        <v>0.753</v>
      </c>
      <c r="V11" s="2">
        <v>14.2</v>
      </c>
      <c r="W11" s="2">
        <v>30.2</v>
      </c>
      <c r="X11" s="2">
        <v>43.4</v>
      </c>
      <c r="Y11" s="2">
        <v>0.09</v>
      </c>
      <c r="Z11" s="2">
        <v>44.9</v>
      </c>
      <c r="AA11" s="2">
        <v>0.122</v>
      </c>
      <c r="AB11" s="2">
        <v>0.16800000000000001</v>
      </c>
      <c r="AC11" s="2">
        <v>0.20899999999999999</v>
      </c>
      <c r="AD11" s="2">
        <v>0.34100000000000003</v>
      </c>
      <c r="AE11" s="2">
        <v>0.42899999999999999</v>
      </c>
      <c r="AF11" s="2">
        <v>30</v>
      </c>
      <c r="AG11" s="2">
        <v>4</v>
      </c>
      <c r="AH11" s="2">
        <v>9</v>
      </c>
    </row>
    <row r="12" spans="1:34" ht="14.65" thickBot="1" x14ac:dyDescent="0.5">
      <c r="A12" s="80"/>
      <c r="B12" s="50" t="s">
        <v>74</v>
      </c>
      <c r="C12" s="53">
        <v>16</v>
      </c>
      <c r="D12" s="89"/>
      <c r="E12" s="58">
        <v>1</v>
      </c>
      <c r="F12" s="41">
        <v>0.98099999999999998</v>
      </c>
      <c r="G12" s="41">
        <v>1.9E-2</v>
      </c>
      <c r="H12" s="41">
        <v>50.9</v>
      </c>
      <c r="I12" s="41">
        <v>30.4</v>
      </c>
      <c r="J12" s="41">
        <v>18.7</v>
      </c>
      <c r="K12" s="41">
        <v>103.1</v>
      </c>
      <c r="L12" s="41">
        <v>33.1</v>
      </c>
      <c r="M12" s="41">
        <v>36.6</v>
      </c>
      <c r="N12" s="41">
        <v>48.5</v>
      </c>
      <c r="O12" s="41">
        <v>0.33100000000000002</v>
      </c>
      <c r="P12" s="41">
        <v>69.599999999999994</v>
      </c>
      <c r="Q12" s="41">
        <v>0.96799999999999997</v>
      </c>
      <c r="R12" s="41">
        <v>0.5</v>
      </c>
      <c r="S12" s="41">
        <v>52.2</v>
      </c>
      <c r="T12" s="41">
        <v>28.4</v>
      </c>
      <c r="U12" s="41">
        <v>0.73199999999999998</v>
      </c>
      <c r="V12" s="41">
        <v>16.7</v>
      </c>
      <c r="W12" s="41">
        <v>33.1</v>
      </c>
      <c r="X12" s="41">
        <v>38.700000000000003</v>
      </c>
      <c r="Y12" s="41">
        <v>7.1999999999999995E-2</v>
      </c>
      <c r="Z12" s="41">
        <v>47.6</v>
      </c>
      <c r="AA12" s="41">
        <v>8.8999999999999996E-2</v>
      </c>
      <c r="AB12" s="41">
        <v>0.16500000000000001</v>
      </c>
      <c r="AC12" s="41">
        <v>0.16500000000000001</v>
      </c>
      <c r="AD12" s="41">
        <v>0.33100000000000002</v>
      </c>
      <c r="AE12" s="41">
        <v>0.44400000000000001</v>
      </c>
      <c r="AF12" s="41">
        <v>22</v>
      </c>
      <c r="AG12" s="41">
        <v>11</v>
      </c>
      <c r="AH12" s="41">
        <v>359</v>
      </c>
    </row>
    <row r="13" spans="1:34" ht="14.65" thickBot="1" x14ac:dyDescent="0.5">
      <c r="A13" s="80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</row>
    <row r="14" spans="1:34" x14ac:dyDescent="0.45">
      <c r="A14" s="80"/>
      <c r="B14" s="49" t="s">
        <v>24</v>
      </c>
      <c r="C14" s="52">
        <v>2</v>
      </c>
      <c r="D14" s="82" t="s">
        <v>24</v>
      </c>
      <c r="E14" s="51">
        <v>1.1020000000000001</v>
      </c>
      <c r="F14" s="2">
        <v>0.94799999999999995</v>
      </c>
      <c r="G14" s="2">
        <v>0.154</v>
      </c>
      <c r="H14" s="2">
        <v>54.5</v>
      </c>
      <c r="I14" s="2">
        <v>23.1</v>
      </c>
      <c r="J14" s="2">
        <v>22.4</v>
      </c>
      <c r="K14" s="2">
        <v>111.5</v>
      </c>
      <c r="L14" s="2">
        <v>30.8</v>
      </c>
      <c r="M14" s="2">
        <v>32.700000000000003</v>
      </c>
      <c r="N14" s="2">
        <v>51.2</v>
      </c>
      <c r="O14" s="2">
        <v>0.378</v>
      </c>
      <c r="P14" s="2">
        <v>70.900000000000006</v>
      </c>
      <c r="Q14" s="2">
        <v>0.98699999999999999</v>
      </c>
      <c r="R14" s="2">
        <v>2.7</v>
      </c>
      <c r="S14" s="2">
        <v>57.8</v>
      </c>
      <c r="T14" s="2">
        <v>33.700000000000003</v>
      </c>
      <c r="U14" s="2">
        <v>0.77100000000000002</v>
      </c>
      <c r="V14" s="2">
        <v>16.3</v>
      </c>
      <c r="W14" s="2">
        <v>28</v>
      </c>
      <c r="X14" s="2">
        <v>40.700000000000003</v>
      </c>
      <c r="Y14" s="2">
        <v>7.8E-2</v>
      </c>
      <c r="Z14" s="2">
        <v>46.1</v>
      </c>
      <c r="AA14" s="2">
        <v>7.6999999999999999E-2</v>
      </c>
      <c r="AB14" s="2">
        <v>0.17399999999999999</v>
      </c>
      <c r="AC14" s="2">
        <v>0.159</v>
      </c>
      <c r="AD14" s="2">
        <v>0.33100000000000002</v>
      </c>
      <c r="AE14" s="2">
        <v>0.57099999999999995</v>
      </c>
      <c r="AF14" s="2">
        <v>27</v>
      </c>
      <c r="AG14" s="2">
        <v>6</v>
      </c>
      <c r="AH14" s="2">
        <v>19</v>
      </c>
    </row>
    <row r="15" spans="1:34" ht="14.65" thickBot="1" x14ac:dyDescent="0.5">
      <c r="A15" s="80"/>
      <c r="B15" s="50" t="s">
        <v>25</v>
      </c>
      <c r="C15" s="53">
        <v>15</v>
      </c>
      <c r="D15" s="89"/>
      <c r="E15" s="58">
        <v>1.0589999999999999</v>
      </c>
      <c r="F15" s="41">
        <v>0.99399999999999999</v>
      </c>
      <c r="G15" s="41">
        <v>6.5000000000000002E-2</v>
      </c>
      <c r="H15" s="41">
        <v>54.5</v>
      </c>
      <c r="I15" s="41">
        <v>28</v>
      </c>
      <c r="J15" s="41">
        <v>17.399999999999999</v>
      </c>
      <c r="K15" s="41">
        <v>107.4</v>
      </c>
      <c r="L15" s="41">
        <v>33</v>
      </c>
      <c r="M15" s="41">
        <v>34.799999999999997</v>
      </c>
      <c r="N15" s="41">
        <v>50.7</v>
      </c>
      <c r="O15" s="41">
        <v>0.29899999999999999</v>
      </c>
      <c r="P15" s="41">
        <v>75.400000000000006</v>
      </c>
      <c r="Q15" s="41">
        <v>0.995</v>
      </c>
      <c r="R15" s="41">
        <v>2.8</v>
      </c>
      <c r="S15" s="41">
        <v>54.4</v>
      </c>
      <c r="T15" s="41">
        <v>32.799999999999997</v>
      </c>
      <c r="U15" s="41">
        <v>0.74299999999999999</v>
      </c>
      <c r="V15" s="41">
        <v>15.9</v>
      </c>
      <c r="W15" s="41">
        <v>32.5</v>
      </c>
      <c r="X15" s="41">
        <v>36.1</v>
      </c>
      <c r="Y15" s="41">
        <v>9.4E-2</v>
      </c>
      <c r="Z15" s="41">
        <v>47.8</v>
      </c>
      <c r="AA15" s="41">
        <v>8.6999999999999994E-2</v>
      </c>
      <c r="AB15" s="41">
        <v>0.154</v>
      </c>
      <c r="AC15" s="41">
        <v>0.159</v>
      </c>
      <c r="AD15" s="41">
        <v>0.3</v>
      </c>
      <c r="AE15" s="41">
        <v>0.36399999999999999</v>
      </c>
      <c r="AF15" s="41">
        <v>23</v>
      </c>
      <c r="AG15" s="41">
        <v>11</v>
      </c>
      <c r="AH15" s="41">
        <v>276</v>
      </c>
    </row>
    <row r="16" spans="1:34" ht="14.65" thickBot="1" x14ac:dyDescent="0.5">
      <c r="A16" s="80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</row>
    <row r="17" spans="1:34" x14ac:dyDescent="0.45">
      <c r="A17" s="80"/>
      <c r="B17" s="51" t="s">
        <v>49</v>
      </c>
      <c r="C17" s="52">
        <v>2</v>
      </c>
      <c r="D17" s="82" t="s">
        <v>49</v>
      </c>
      <c r="E17" s="51">
        <v>1.1559999999999999</v>
      </c>
      <c r="F17" s="2">
        <v>1.0329999999999999</v>
      </c>
      <c r="G17" s="2">
        <v>0.123</v>
      </c>
      <c r="H17" s="2">
        <v>45.1</v>
      </c>
      <c r="I17" s="2">
        <v>34.799999999999997</v>
      </c>
      <c r="J17" s="2">
        <v>20.100000000000001</v>
      </c>
      <c r="K17" s="2">
        <v>120</v>
      </c>
      <c r="L17" s="2">
        <v>35</v>
      </c>
      <c r="M17" s="2">
        <v>46.2</v>
      </c>
      <c r="N17" s="2">
        <v>56.4</v>
      </c>
      <c r="O17" s="2">
        <v>0.40100000000000002</v>
      </c>
      <c r="P17" s="2">
        <v>78.8</v>
      </c>
      <c r="Q17" s="2">
        <v>0.97399999999999998</v>
      </c>
      <c r="R17" s="2">
        <v>-2.4</v>
      </c>
      <c r="S17" s="2">
        <v>68.5</v>
      </c>
      <c r="T17" s="2">
        <v>32.700000000000003</v>
      </c>
      <c r="U17" s="2">
        <v>0.73099999999999998</v>
      </c>
      <c r="V17" s="2">
        <v>16.2</v>
      </c>
      <c r="W17" s="2">
        <v>30.4</v>
      </c>
      <c r="X17" s="2">
        <v>34.6</v>
      </c>
      <c r="Y17" s="2">
        <v>6.6000000000000003E-2</v>
      </c>
      <c r="Z17" s="2">
        <v>47.9</v>
      </c>
      <c r="AA17" s="2">
        <v>7.6999999999999999E-2</v>
      </c>
      <c r="AB17" s="2">
        <v>0.16300000000000001</v>
      </c>
      <c r="AC17" s="2">
        <v>0.13</v>
      </c>
      <c r="AD17" s="2">
        <v>0.33900000000000002</v>
      </c>
      <c r="AE17" s="2">
        <v>0.66700000000000004</v>
      </c>
      <c r="AF17" s="2">
        <v>25</v>
      </c>
      <c r="AG17" s="2">
        <v>8</v>
      </c>
      <c r="AH17" s="2">
        <v>1</v>
      </c>
    </row>
    <row r="18" spans="1:34" x14ac:dyDescent="0.45">
      <c r="A18" s="80"/>
      <c r="B18" s="49" t="s">
        <v>50</v>
      </c>
      <c r="C18" s="52">
        <v>15</v>
      </c>
      <c r="D18" s="89"/>
      <c r="E18" s="51">
        <v>1.073</v>
      </c>
      <c r="F18" s="2">
        <v>0.999</v>
      </c>
      <c r="G18" s="2">
        <v>7.3999999999999996E-2</v>
      </c>
      <c r="H18" s="2">
        <v>49.6</v>
      </c>
      <c r="I18" s="2">
        <v>29.5</v>
      </c>
      <c r="J18" s="2">
        <v>20.9</v>
      </c>
      <c r="K18" s="2">
        <v>109.7</v>
      </c>
      <c r="L18" s="2">
        <v>34.6</v>
      </c>
      <c r="M18" s="2">
        <v>36.700000000000003</v>
      </c>
      <c r="N18" s="2">
        <v>51.2</v>
      </c>
      <c r="O18" s="2">
        <v>0.376</v>
      </c>
      <c r="P18" s="2">
        <v>71.7</v>
      </c>
      <c r="Q18" s="2">
        <v>0.97699999999999998</v>
      </c>
      <c r="R18" s="2">
        <v>3.7</v>
      </c>
      <c r="S18" s="2">
        <v>56</v>
      </c>
      <c r="T18" s="2">
        <v>34.700000000000003</v>
      </c>
      <c r="U18" s="2">
        <v>0.745</v>
      </c>
      <c r="V18" s="2">
        <v>17.8</v>
      </c>
      <c r="W18" s="2">
        <v>34</v>
      </c>
      <c r="X18" s="2">
        <v>35.6</v>
      </c>
      <c r="Y18" s="2">
        <v>7.6999999999999999E-2</v>
      </c>
      <c r="Z18" s="2">
        <v>50.7</v>
      </c>
      <c r="AA18" s="2">
        <v>0.09</v>
      </c>
      <c r="AB18" s="2">
        <v>0.189</v>
      </c>
      <c r="AC18" s="2">
        <v>0.183</v>
      </c>
      <c r="AD18" s="2">
        <v>0.30299999999999999</v>
      </c>
      <c r="AE18" s="2">
        <v>0.66700000000000004</v>
      </c>
      <c r="AF18" s="2">
        <v>26</v>
      </c>
      <c r="AG18" s="2">
        <v>8</v>
      </c>
      <c r="AH18" s="2">
        <v>280</v>
      </c>
    </row>
    <row r="19" spans="1:34" ht="14.65" thickBot="1" x14ac:dyDescent="0.5">
      <c r="A19" s="80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</row>
    <row r="20" spans="1:34" ht="14.65" thickBot="1" x14ac:dyDescent="0.5">
      <c r="A20" s="80"/>
      <c r="B20" s="50" t="s">
        <v>61</v>
      </c>
      <c r="C20" s="53">
        <v>2</v>
      </c>
      <c r="D20" s="82" t="s">
        <v>61</v>
      </c>
      <c r="E20" s="58">
        <v>1.1060000000000001</v>
      </c>
      <c r="F20" s="41">
        <v>0.93200000000000005</v>
      </c>
      <c r="G20" s="41">
        <v>0.17399999999999999</v>
      </c>
      <c r="H20" s="41">
        <v>46.2</v>
      </c>
      <c r="I20" s="41">
        <v>33.9</v>
      </c>
      <c r="J20" s="41">
        <v>20</v>
      </c>
      <c r="K20" s="41">
        <v>113.2</v>
      </c>
      <c r="L20" s="41">
        <v>34</v>
      </c>
      <c r="M20" s="41">
        <v>43</v>
      </c>
      <c r="N20" s="41">
        <v>52.8</v>
      </c>
      <c r="O20" s="41">
        <v>0.35399999999999998</v>
      </c>
      <c r="P20" s="41">
        <v>67.599999999999994</v>
      </c>
      <c r="Q20" s="41">
        <v>0.98699999999999999</v>
      </c>
      <c r="R20" s="41">
        <v>2.4</v>
      </c>
      <c r="S20" s="41">
        <v>59.3</v>
      </c>
      <c r="T20" s="41">
        <v>33.6</v>
      </c>
      <c r="U20" s="41">
        <v>0.73699999999999999</v>
      </c>
      <c r="V20" s="41">
        <v>15.5</v>
      </c>
      <c r="W20" s="41">
        <v>28.7</v>
      </c>
      <c r="X20" s="41">
        <v>44.6</v>
      </c>
      <c r="Y20" s="41">
        <v>8.4000000000000005E-2</v>
      </c>
      <c r="Z20" s="41">
        <v>44.4</v>
      </c>
      <c r="AA20" s="41">
        <v>0.104</v>
      </c>
      <c r="AB20" s="41">
        <v>0.151</v>
      </c>
      <c r="AC20" s="41">
        <v>0.17299999999999999</v>
      </c>
      <c r="AD20" s="41">
        <v>0.29399999999999998</v>
      </c>
      <c r="AE20" s="41">
        <v>0.6</v>
      </c>
      <c r="AF20" s="41">
        <v>27</v>
      </c>
      <c r="AG20" s="41">
        <v>7</v>
      </c>
      <c r="AH20" s="41">
        <v>17</v>
      </c>
    </row>
    <row r="21" spans="1:34" x14ac:dyDescent="0.45">
      <c r="A21" s="80"/>
      <c r="B21" s="49" t="s">
        <v>62</v>
      </c>
      <c r="C21" s="52">
        <v>15</v>
      </c>
      <c r="D21" s="89"/>
      <c r="E21" s="51">
        <v>1.0980000000000001</v>
      </c>
      <c r="F21" s="2">
        <v>1.0649999999999999</v>
      </c>
      <c r="G21" s="2">
        <v>3.3000000000000002E-2</v>
      </c>
      <c r="H21" s="2">
        <v>44.7</v>
      </c>
      <c r="I21" s="2">
        <v>39.200000000000003</v>
      </c>
      <c r="J21" s="2">
        <v>16.100000000000001</v>
      </c>
      <c r="K21" s="2">
        <v>110.8</v>
      </c>
      <c r="L21" s="2">
        <v>34.799999999999997</v>
      </c>
      <c r="M21" s="2">
        <v>47.7</v>
      </c>
      <c r="N21" s="2">
        <v>53.2</v>
      </c>
      <c r="O21" s="2">
        <v>0.30599999999999999</v>
      </c>
      <c r="P21" s="2">
        <v>66.5</v>
      </c>
      <c r="Q21" s="2">
        <v>0.99099999999999999</v>
      </c>
      <c r="R21" s="2">
        <v>1.6</v>
      </c>
      <c r="S21" s="2">
        <v>60.1</v>
      </c>
      <c r="T21" s="2">
        <v>33.6</v>
      </c>
      <c r="U21" s="2">
        <v>0.75600000000000001</v>
      </c>
      <c r="V21" s="2">
        <v>16.5</v>
      </c>
      <c r="W21" s="2">
        <v>34.5</v>
      </c>
      <c r="X21" s="2">
        <v>46</v>
      </c>
      <c r="Y21" s="2">
        <v>4.7E-2</v>
      </c>
      <c r="Z21" s="2">
        <v>51.9</v>
      </c>
      <c r="AA21" s="2">
        <v>0.82</v>
      </c>
      <c r="AB21" s="2">
        <v>0.18</v>
      </c>
      <c r="AC21" s="2">
        <v>0.14399999999999999</v>
      </c>
      <c r="AD21" s="2">
        <v>0.36399999999999999</v>
      </c>
      <c r="AE21" s="2">
        <v>0.3</v>
      </c>
      <c r="AF21" s="2">
        <v>19</v>
      </c>
      <c r="AG21" s="2">
        <v>15</v>
      </c>
      <c r="AH21" s="2">
        <v>162</v>
      </c>
    </row>
    <row r="22" spans="1:34" ht="14.65" thickBot="1" x14ac:dyDescent="0.5">
      <c r="A22" s="80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</row>
    <row r="23" spans="1:34" x14ac:dyDescent="0.45">
      <c r="A23" s="80"/>
      <c r="B23" s="49" t="s">
        <v>37</v>
      </c>
      <c r="C23" s="52">
        <v>2</v>
      </c>
      <c r="D23" s="82" t="s">
        <v>37</v>
      </c>
      <c r="E23" s="51">
        <v>1.069</v>
      </c>
      <c r="F23" s="2">
        <v>0.89500000000000002</v>
      </c>
      <c r="G23" s="2">
        <v>0.17399999999999999</v>
      </c>
      <c r="H23" s="2">
        <v>59</v>
      </c>
      <c r="I23" s="2">
        <v>23.5</v>
      </c>
      <c r="J23" s="2">
        <v>17.600000000000001</v>
      </c>
      <c r="K23" s="2">
        <v>104.4</v>
      </c>
      <c r="L23" s="2">
        <v>30.4</v>
      </c>
      <c r="M23" s="2">
        <v>30.3</v>
      </c>
      <c r="N23" s="2">
        <v>49.7</v>
      </c>
      <c r="O23" s="2">
        <v>0.30199999999999999</v>
      </c>
      <c r="P23" s="2">
        <v>73.599999999999994</v>
      </c>
      <c r="Q23" s="2">
        <v>1.0229999999999999</v>
      </c>
      <c r="R23" s="2">
        <v>7.8</v>
      </c>
      <c r="S23" s="2">
        <v>55.7</v>
      </c>
      <c r="T23" s="2">
        <v>35.5</v>
      </c>
      <c r="U23" s="2">
        <v>0.72799999999999998</v>
      </c>
      <c r="V23" s="2">
        <v>15.1</v>
      </c>
      <c r="W23" s="2">
        <v>30.6</v>
      </c>
      <c r="X23" s="2">
        <v>40.799999999999997</v>
      </c>
      <c r="Y23" s="2">
        <v>8.7999999999999995E-2</v>
      </c>
      <c r="Z23" s="2">
        <v>46.6</v>
      </c>
      <c r="AA23" s="2">
        <v>0.121</v>
      </c>
      <c r="AB23" s="2">
        <v>0.17499999999999999</v>
      </c>
      <c r="AC23" s="2">
        <v>0.20899999999999999</v>
      </c>
      <c r="AD23" s="2">
        <v>0.30399999999999999</v>
      </c>
      <c r="AE23" s="2">
        <v>0.5</v>
      </c>
      <c r="AF23" s="2">
        <v>30</v>
      </c>
      <c r="AG23" s="2">
        <v>4</v>
      </c>
      <c r="AH23" s="2">
        <v>40</v>
      </c>
    </row>
    <row r="24" spans="1:34" x14ac:dyDescent="0.45">
      <c r="A24" s="80"/>
      <c r="B24" s="51" t="s">
        <v>38</v>
      </c>
      <c r="C24" s="52">
        <v>15</v>
      </c>
      <c r="D24" s="89"/>
      <c r="E24" s="51">
        <v>1.091</v>
      </c>
      <c r="F24" s="2">
        <v>1.08</v>
      </c>
      <c r="G24" s="2">
        <v>1.0999999999999999E-2</v>
      </c>
      <c r="H24" s="2">
        <v>48.2</v>
      </c>
      <c r="I24" s="2">
        <v>31.8</v>
      </c>
      <c r="J24" s="2">
        <v>20</v>
      </c>
      <c r="K24" s="2">
        <v>112.3</v>
      </c>
      <c r="L24" s="2">
        <v>35.6</v>
      </c>
      <c r="M24" s="2">
        <v>39.1</v>
      </c>
      <c r="N24" s="2">
        <v>52.6</v>
      </c>
      <c r="O24" s="2">
        <v>0.36</v>
      </c>
      <c r="P24" s="2">
        <v>70.599999999999994</v>
      </c>
      <c r="Q24" s="2">
        <v>0.97299999999999998</v>
      </c>
      <c r="R24" s="2">
        <v>1.4</v>
      </c>
      <c r="S24" s="2">
        <v>57</v>
      </c>
      <c r="T24" s="2">
        <v>28.3</v>
      </c>
      <c r="U24" s="2">
        <v>0.77400000000000002</v>
      </c>
      <c r="V24" s="2">
        <v>15.2</v>
      </c>
      <c r="W24" s="2">
        <v>35.200000000000003</v>
      </c>
      <c r="X24" s="2">
        <v>45</v>
      </c>
      <c r="Y24" s="2">
        <v>3.9E-2</v>
      </c>
      <c r="Z24" s="2">
        <v>53.2</v>
      </c>
      <c r="AA24" s="2">
        <v>0.82</v>
      </c>
      <c r="AB24" s="2">
        <v>0.192</v>
      </c>
      <c r="AC24" s="2">
        <v>0.14499999999999999</v>
      </c>
      <c r="AD24" s="2">
        <v>0.372</v>
      </c>
      <c r="AE24" s="2">
        <v>0.66700000000000004</v>
      </c>
      <c r="AF24" s="2">
        <v>22</v>
      </c>
      <c r="AG24" s="2">
        <v>12</v>
      </c>
      <c r="AH24" s="2">
        <v>223</v>
      </c>
    </row>
    <row r="25" spans="1:34" ht="14.65" thickBot="1" x14ac:dyDescent="0.5">
      <c r="A25" s="80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</row>
    <row r="26" spans="1:34" x14ac:dyDescent="0.45">
      <c r="A26" s="80"/>
      <c r="B26" s="51" t="s">
        <v>58</v>
      </c>
      <c r="C26" s="52">
        <v>3</v>
      </c>
      <c r="D26" s="82" t="s">
        <v>58</v>
      </c>
      <c r="E26" s="51">
        <v>1.1459999999999999</v>
      </c>
      <c r="F26" s="2">
        <v>1.046</v>
      </c>
      <c r="G26" s="2">
        <v>0.1</v>
      </c>
      <c r="H26" s="2">
        <v>47.4</v>
      </c>
      <c r="I26" s="2">
        <v>33.799999999999997</v>
      </c>
      <c r="J26" s="2">
        <v>18.8</v>
      </c>
      <c r="K26" s="2">
        <v>117.9</v>
      </c>
      <c r="L26" s="2">
        <v>37.4</v>
      </c>
      <c r="M26" s="2">
        <v>41.7</v>
      </c>
      <c r="N26" s="2">
        <v>56</v>
      </c>
      <c r="O26" s="2">
        <v>0.35899999999999999</v>
      </c>
      <c r="P26" s="2">
        <v>74.400000000000006</v>
      </c>
      <c r="Q26" s="2">
        <v>0.96799999999999997</v>
      </c>
      <c r="R26" s="2">
        <v>-0.6</v>
      </c>
      <c r="S26" s="2">
        <v>60.6</v>
      </c>
      <c r="T26" s="2">
        <v>27</v>
      </c>
      <c r="U26" s="2">
        <v>0.748</v>
      </c>
      <c r="V26" s="2">
        <v>14.9</v>
      </c>
      <c r="W26" s="2">
        <v>30.5</v>
      </c>
      <c r="X26" s="2">
        <v>43.7</v>
      </c>
      <c r="Y26" s="2">
        <v>6.4000000000000001E-2</v>
      </c>
      <c r="Z26" s="2">
        <v>50.4</v>
      </c>
      <c r="AA26" s="2">
        <v>9.2999999999999999E-2</v>
      </c>
      <c r="AB26" s="2">
        <v>0.17199999999999999</v>
      </c>
      <c r="AC26" s="2">
        <v>0.13900000000000001</v>
      </c>
      <c r="AD26" s="2">
        <v>0.31</v>
      </c>
      <c r="AE26" s="2">
        <v>0.6</v>
      </c>
      <c r="AF26" s="2">
        <v>22</v>
      </c>
      <c r="AG26" s="2">
        <v>11</v>
      </c>
      <c r="AH26" s="2">
        <v>10</v>
      </c>
    </row>
    <row r="27" spans="1:34" ht="14.65" thickBot="1" x14ac:dyDescent="0.5">
      <c r="A27" s="80"/>
      <c r="B27" s="50" t="s">
        <v>59</v>
      </c>
      <c r="C27" s="53">
        <v>14</v>
      </c>
      <c r="D27" s="89"/>
      <c r="E27" s="58">
        <v>1.0549999999999999</v>
      </c>
      <c r="F27" s="41">
        <v>0.96099999999999997</v>
      </c>
      <c r="G27" s="41">
        <v>9.4E-2</v>
      </c>
      <c r="H27" s="41">
        <v>46.6</v>
      </c>
      <c r="I27" s="41">
        <v>32.200000000000003</v>
      </c>
      <c r="J27" s="41">
        <v>21.2</v>
      </c>
      <c r="K27" s="41">
        <v>107.5</v>
      </c>
      <c r="L27" s="41">
        <v>30.3</v>
      </c>
      <c r="M27" s="41">
        <v>44.8</v>
      </c>
      <c r="N27" s="41">
        <v>50.1</v>
      </c>
      <c r="O27" s="41">
        <v>0.378</v>
      </c>
      <c r="P27" s="41">
        <v>68.7</v>
      </c>
      <c r="Q27" s="41">
        <v>0.97899999999999998</v>
      </c>
      <c r="R27" s="41">
        <v>2.4</v>
      </c>
      <c r="S27" s="41">
        <v>59.9</v>
      </c>
      <c r="T27" s="41">
        <v>37.700000000000003</v>
      </c>
      <c r="U27" s="41">
        <v>0.70699999999999996</v>
      </c>
      <c r="V27" s="41">
        <v>19.399999999999999</v>
      </c>
      <c r="W27" s="41">
        <v>32.799999999999997</v>
      </c>
      <c r="X27" s="41">
        <v>38.299999999999997</v>
      </c>
      <c r="Y27" s="41">
        <v>7.6999999999999999E-2</v>
      </c>
      <c r="Z27" s="41">
        <v>47.2</v>
      </c>
      <c r="AA27" s="41">
        <v>0.13300000000000001</v>
      </c>
      <c r="AB27" s="41">
        <v>0.17899999999999999</v>
      </c>
      <c r="AC27" s="41">
        <v>0.191</v>
      </c>
      <c r="AD27" s="41">
        <v>0.29299999999999998</v>
      </c>
      <c r="AE27" s="41">
        <v>0.375</v>
      </c>
      <c r="AF27" s="41">
        <v>23</v>
      </c>
      <c r="AG27" s="41">
        <v>10</v>
      </c>
      <c r="AH27" s="41">
        <v>203</v>
      </c>
    </row>
    <row r="28" spans="1:34" ht="14.65" thickBot="1" x14ac:dyDescent="0.5">
      <c r="A28" s="80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</row>
    <row r="29" spans="1:34" x14ac:dyDescent="0.45">
      <c r="A29" s="80"/>
      <c r="B29" s="49" t="s">
        <v>20</v>
      </c>
      <c r="C29" s="52">
        <v>3</v>
      </c>
      <c r="D29" s="82" t="s">
        <v>20</v>
      </c>
      <c r="E29" s="51">
        <v>1.115</v>
      </c>
      <c r="F29" s="2">
        <v>0.94499999999999995</v>
      </c>
      <c r="G29" s="2">
        <v>0.17</v>
      </c>
      <c r="H29" s="2">
        <v>50.8</v>
      </c>
      <c r="I29" s="2">
        <v>28.6</v>
      </c>
      <c r="J29" s="2">
        <v>20.6</v>
      </c>
      <c r="K29" s="2">
        <v>117.2</v>
      </c>
      <c r="L29" s="2">
        <v>35.799999999999997</v>
      </c>
      <c r="M29" s="2">
        <v>36.9</v>
      </c>
      <c r="N29" s="2">
        <v>54.6</v>
      </c>
      <c r="O29" s="2">
        <v>0.38500000000000001</v>
      </c>
      <c r="P29" s="2">
        <v>72.099999999999994</v>
      </c>
      <c r="Q29" s="2">
        <v>0.95699999999999996</v>
      </c>
      <c r="R29" s="2">
        <v>4</v>
      </c>
      <c r="S29" s="2">
        <v>60.9</v>
      </c>
      <c r="T29" s="2">
        <v>30.5</v>
      </c>
      <c r="U29" s="2">
        <v>0.74399999999999999</v>
      </c>
      <c r="V29" s="2">
        <v>16.5</v>
      </c>
      <c r="W29" s="2">
        <v>33.6</v>
      </c>
      <c r="X29" s="2">
        <v>40.9</v>
      </c>
      <c r="Y29" s="2">
        <v>0.06</v>
      </c>
      <c r="Z29" s="2">
        <v>48.4</v>
      </c>
      <c r="AA29" s="2">
        <v>0.129</v>
      </c>
      <c r="AB29" s="2">
        <v>0.186</v>
      </c>
      <c r="AC29" s="2">
        <v>0.21199999999999999</v>
      </c>
      <c r="AD29" s="2">
        <v>0.28899999999999998</v>
      </c>
      <c r="AE29" s="2">
        <v>0.4</v>
      </c>
      <c r="AF29" s="2">
        <v>24</v>
      </c>
      <c r="AG29" s="2">
        <v>9</v>
      </c>
      <c r="AH29" s="2">
        <v>30</v>
      </c>
    </row>
    <row r="30" spans="1:34" x14ac:dyDescent="0.45">
      <c r="A30" s="80"/>
      <c r="B30" s="49" t="s">
        <v>21</v>
      </c>
      <c r="C30" s="52">
        <v>14</v>
      </c>
      <c r="D30" s="89"/>
      <c r="E30" s="51">
        <v>1.1299999999999999</v>
      </c>
      <c r="F30" s="2">
        <v>0.98599999999999999</v>
      </c>
      <c r="G30" s="2">
        <v>0.14399999999999999</v>
      </c>
      <c r="H30" s="2">
        <v>43.5</v>
      </c>
      <c r="I30" s="2">
        <v>38.299999999999997</v>
      </c>
      <c r="J30" s="2">
        <v>18.2</v>
      </c>
      <c r="K30" s="2">
        <v>118.5</v>
      </c>
      <c r="L30" s="2">
        <v>36.700000000000003</v>
      </c>
      <c r="M30" s="2">
        <v>47.4</v>
      </c>
      <c r="N30" s="2">
        <v>55.9</v>
      </c>
      <c r="O30" s="2">
        <v>0.314</v>
      </c>
      <c r="P30" s="2">
        <v>68.7</v>
      </c>
      <c r="Q30" s="2">
        <v>0.94499999999999995</v>
      </c>
      <c r="R30" s="2">
        <v>-1.6</v>
      </c>
      <c r="S30" s="2">
        <v>63.1</v>
      </c>
      <c r="T30" s="2">
        <v>21.2</v>
      </c>
      <c r="U30" s="2">
        <v>0.748</v>
      </c>
      <c r="V30" s="2">
        <v>14.2</v>
      </c>
      <c r="W30" s="2">
        <v>31.2</v>
      </c>
      <c r="X30" s="2">
        <v>37</v>
      </c>
      <c r="Y30" s="2">
        <v>4.7E-2</v>
      </c>
      <c r="Z30" s="2">
        <v>48.7</v>
      </c>
      <c r="AA30" s="2">
        <v>9.7000000000000003E-2</v>
      </c>
      <c r="AB30" s="2">
        <v>0.152</v>
      </c>
      <c r="AC30" s="2">
        <v>0.156</v>
      </c>
      <c r="AD30" s="2">
        <v>0.223</v>
      </c>
      <c r="AE30" s="2">
        <v>0.33300000000000002</v>
      </c>
      <c r="AF30" s="2">
        <v>25</v>
      </c>
      <c r="AG30" s="2">
        <v>9</v>
      </c>
      <c r="AH30" s="2">
        <v>319</v>
      </c>
    </row>
    <row r="31" spans="1:34" ht="14.65" thickBot="1" x14ac:dyDescent="0.5">
      <c r="A31" s="80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</row>
    <row r="32" spans="1:34" x14ac:dyDescent="0.45">
      <c r="A32" s="80"/>
      <c r="B32" s="49" t="s">
        <v>34</v>
      </c>
      <c r="C32" s="52">
        <v>3</v>
      </c>
      <c r="D32" s="82" t="s">
        <v>34</v>
      </c>
      <c r="E32" s="51">
        <v>1.1719999999999999</v>
      </c>
      <c r="F32" s="2">
        <v>0.97899999999999998</v>
      </c>
      <c r="G32" s="2">
        <v>0.193</v>
      </c>
      <c r="H32" s="2">
        <v>45.8</v>
      </c>
      <c r="I32" s="2">
        <v>37.200000000000003</v>
      </c>
      <c r="J32" s="2">
        <v>17.100000000000001</v>
      </c>
      <c r="K32" s="2">
        <v>116.1</v>
      </c>
      <c r="L32" s="2">
        <v>37.9</v>
      </c>
      <c r="M32" s="2">
        <v>44.6</v>
      </c>
      <c r="N32" s="2">
        <v>55.5</v>
      </c>
      <c r="O32" s="2">
        <v>0.29699999999999999</v>
      </c>
      <c r="P32" s="2">
        <v>69</v>
      </c>
      <c r="Q32" s="2">
        <v>1.006</v>
      </c>
      <c r="R32" s="2">
        <v>3.4</v>
      </c>
      <c r="S32" s="2">
        <v>59.4</v>
      </c>
      <c r="T32" s="2">
        <v>32.200000000000003</v>
      </c>
      <c r="U32" s="2">
        <v>0.73099999999999998</v>
      </c>
      <c r="V32" s="2">
        <v>14.4</v>
      </c>
      <c r="W32" s="2">
        <v>32.4</v>
      </c>
      <c r="X32" s="2">
        <v>34.6</v>
      </c>
      <c r="Y32" s="2">
        <v>5.5E-2</v>
      </c>
      <c r="Z32" s="2">
        <v>48</v>
      </c>
      <c r="AA32" s="2">
        <v>9.1999999999999998E-2</v>
      </c>
      <c r="AB32" s="2">
        <v>0.16200000000000001</v>
      </c>
      <c r="AC32" s="2">
        <v>0.16700000000000001</v>
      </c>
      <c r="AD32" s="2">
        <v>0.33500000000000002</v>
      </c>
      <c r="AE32" s="2">
        <v>0.58299999999999996</v>
      </c>
      <c r="AF32" s="2">
        <v>25</v>
      </c>
      <c r="AG32" s="2">
        <v>8</v>
      </c>
      <c r="AH32" s="2">
        <v>47</v>
      </c>
    </row>
    <row r="33" spans="1:34" x14ac:dyDescent="0.45">
      <c r="A33" s="80"/>
      <c r="B33" s="49" t="s">
        <v>6</v>
      </c>
      <c r="C33" s="52">
        <v>14</v>
      </c>
      <c r="D33" s="89"/>
      <c r="E33" s="51">
        <v>1.1200000000000001</v>
      </c>
      <c r="F33" s="2">
        <v>1.02</v>
      </c>
      <c r="G33" s="2">
        <v>0.01</v>
      </c>
      <c r="H33" s="2">
        <v>51.6</v>
      </c>
      <c r="I33" s="2">
        <v>27</v>
      </c>
      <c r="J33" s="2">
        <v>21.3</v>
      </c>
      <c r="K33" s="2">
        <v>112.4</v>
      </c>
      <c r="L33" s="2">
        <v>33</v>
      </c>
      <c r="M33" s="2">
        <v>36.200000000000003</v>
      </c>
      <c r="N33" s="2">
        <v>52.2</v>
      </c>
      <c r="O33" s="2">
        <v>0.378</v>
      </c>
      <c r="P33" s="2">
        <v>68.599999999999994</v>
      </c>
      <c r="Q33" s="2">
        <v>0.996</v>
      </c>
      <c r="R33" s="2">
        <v>1.7</v>
      </c>
      <c r="S33" s="2">
        <v>59.3</v>
      </c>
      <c r="T33" s="2">
        <v>34.6</v>
      </c>
      <c r="U33" s="2">
        <v>0.74399999999999999</v>
      </c>
      <c r="V33" s="2">
        <v>15.6</v>
      </c>
      <c r="W33" s="2">
        <v>34</v>
      </c>
      <c r="X33" s="2">
        <v>43.5</v>
      </c>
      <c r="Y33" s="2">
        <v>5.8999999999999997E-2</v>
      </c>
      <c r="Z33" s="2">
        <v>50.9</v>
      </c>
      <c r="AA33" s="2">
        <v>9.1999999999999998E-2</v>
      </c>
      <c r="AB33" s="2">
        <v>0.17899999999999999</v>
      </c>
      <c r="AC33" s="2">
        <v>0.16800000000000001</v>
      </c>
      <c r="AD33" s="2">
        <v>0.30299999999999999</v>
      </c>
      <c r="AE33" s="2">
        <v>0.625</v>
      </c>
      <c r="AF33" s="2">
        <v>27</v>
      </c>
      <c r="AG33" s="2">
        <v>7</v>
      </c>
      <c r="AH33" s="2">
        <v>275</v>
      </c>
    </row>
    <row r="34" spans="1:34" ht="14.65" thickBot="1" x14ac:dyDescent="0.5">
      <c r="A34" s="80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</row>
    <row r="35" spans="1:34" ht="14.65" thickBot="1" x14ac:dyDescent="0.5">
      <c r="A35" s="80"/>
      <c r="B35" s="50" t="s">
        <v>45</v>
      </c>
      <c r="C35" s="53">
        <v>3</v>
      </c>
      <c r="D35" s="82" t="s">
        <v>45</v>
      </c>
      <c r="E35" s="58">
        <v>1.131</v>
      </c>
      <c r="F35" s="41">
        <v>0.999</v>
      </c>
      <c r="G35" s="41">
        <v>0.13200000000000001</v>
      </c>
      <c r="H35" s="41">
        <v>42.2</v>
      </c>
      <c r="I35" s="41">
        <v>37</v>
      </c>
      <c r="J35" s="41">
        <v>20.8</v>
      </c>
      <c r="K35" s="41">
        <v>116.8</v>
      </c>
      <c r="L35" s="41">
        <v>34.9</v>
      </c>
      <c r="M35" s="41">
        <v>48.1</v>
      </c>
      <c r="N35" s="41">
        <v>53.6</v>
      </c>
      <c r="O35" s="41">
        <v>0.33800000000000002</v>
      </c>
      <c r="P35" s="41">
        <v>70.5</v>
      </c>
      <c r="Q35" s="41">
        <v>0.97099999999999997</v>
      </c>
      <c r="R35" s="41">
        <v>-0.5</v>
      </c>
      <c r="S35" s="41">
        <v>61.8</v>
      </c>
      <c r="T35" s="41">
        <v>24.7</v>
      </c>
      <c r="U35" s="41">
        <v>0.752</v>
      </c>
      <c r="V35" s="41">
        <v>13.8</v>
      </c>
      <c r="W35" s="41">
        <v>33.299999999999997</v>
      </c>
      <c r="X35" s="41">
        <v>39.1</v>
      </c>
      <c r="Y35" s="41">
        <v>3.9E-2</v>
      </c>
      <c r="Z35" s="41">
        <v>47.9</v>
      </c>
      <c r="AA35" s="41">
        <v>7.2999999999999995E-2</v>
      </c>
      <c r="AB35" s="41">
        <v>0.17899999999999999</v>
      </c>
      <c r="AC35" s="41">
        <v>0.14099999999999999</v>
      </c>
      <c r="AD35" s="41">
        <v>0.28100000000000003</v>
      </c>
      <c r="AE35" s="41">
        <v>0.5</v>
      </c>
      <c r="AF35" s="41">
        <v>26</v>
      </c>
      <c r="AG35" s="41">
        <v>9</v>
      </c>
      <c r="AH35" s="41">
        <v>18</v>
      </c>
    </row>
    <row r="36" spans="1:34" x14ac:dyDescent="0.45">
      <c r="A36" s="80"/>
      <c r="B36" s="51" t="s">
        <v>46</v>
      </c>
      <c r="C36" s="52">
        <v>14</v>
      </c>
      <c r="D36" s="89"/>
      <c r="E36" s="51">
        <v>1.089</v>
      </c>
      <c r="F36" s="2">
        <v>1.0780000000000001</v>
      </c>
      <c r="G36" s="2">
        <v>1.0999999999999999E-2</v>
      </c>
      <c r="H36" s="2">
        <v>51.9</v>
      </c>
      <c r="I36" s="2">
        <v>28.9</v>
      </c>
      <c r="J36" s="2">
        <v>19.2</v>
      </c>
      <c r="K36" s="2">
        <v>118.4</v>
      </c>
      <c r="L36" s="2">
        <v>36.5</v>
      </c>
      <c r="M36" s="2">
        <v>36.799999999999997</v>
      </c>
      <c r="N36" s="2">
        <v>56.4</v>
      </c>
      <c r="O36" s="2">
        <v>0.36199999999999999</v>
      </c>
      <c r="P36" s="2">
        <v>69.3</v>
      </c>
      <c r="Q36" s="2">
        <v>0.92200000000000004</v>
      </c>
      <c r="R36" s="2">
        <v>-2.9</v>
      </c>
      <c r="S36" s="2">
        <v>62.3</v>
      </c>
      <c r="T36" s="2">
        <v>19.7</v>
      </c>
      <c r="U36" s="2">
        <v>0.73</v>
      </c>
      <c r="V36" s="2">
        <v>15.8</v>
      </c>
      <c r="W36" s="2">
        <v>33.6</v>
      </c>
      <c r="X36" s="2">
        <v>35.1</v>
      </c>
      <c r="Y36" s="2">
        <v>5.1999999999999998E-2</v>
      </c>
      <c r="Z36" s="2">
        <v>52.2</v>
      </c>
      <c r="AA36" s="2">
        <v>8.7999999999999995E-2</v>
      </c>
      <c r="AB36" s="2">
        <v>0.17899999999999999</v>
      </c>
      <c r="AC36" s="2">
        <v>0.152</v>
      </c>
      <c r="AD36" s="2">
        <v>0.31900000000000001</v>
      </c>
      <c r="AE36" s="2">
        <v>0.8</v>
      </c>
      <c r="AF36" s="2">
        <v>25</v>
      </c>
      <c r="AG36" s="2">
        <v>9</v>
      </c>
      <c r="AH36" s="2">
        <v>237</v>
      </c>
    </row>
    <row r="37" spans="1:34" ht="14.65" thickBot="1" x14ac:dyDescent="0.5">
      <c r="A37" s="80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</row>
    <row r="38" spans="1:34" x14ac:dyDescent="0.45">
      <c r="A38" s="80"/>
      <c r="B38" s="51" t="s">
        <v>55</v>
      </c>
      <c r="C38" s="52">
        <v>4</v>
      </c>
      <c r="D38" s="82" t="s">
        <v>55</v>
      </c>
      <c r="E38" s="51">
        <v>1.1499999999999999</v>
      </c>
      <c r="F38" s="2">
        <v>1.0489999999999999</v>
      </c>
      <c r="G38" s="2">
        <v>0.10100000000000001</v>
      </c>
      <c r="H38" s="2">
        <v>49.6</v>
      </c>
      <c r="I38" s="2">
        <v>31.9</v>
      </c>
      <c r="J38" s="2">
        <v>18.5</v>
      </c>
      <c r="K38" s="2">
        <v>118.2</v>
      </c>
      <c r="L38" s="2">
        <v>38.5</v>
      </c>
      <c r="M38" s="2">
        <v>38.1</v>
      </c>
      <c r="N38" s="2">
        <v>56.3</v>
      </c>
      <c r="O38" s="2">
        <v>0.34599999999999997</v>
      </c>
      <c r="P38" s="2">
        <v>67.7</v>
      </c>
      <c r="Q38" s="2">
        <v>0.97</v>
      </c>
      <c r="R38" s="2">
        <v>1.1000000000000001</v>
      </c>
      <c r="S38" s="2">
        <v>60.3</v>
      </c>
      <c r="T38" s="2">
        <v>29.2</v>
      </c>
      <c r="U38" s="2">
        <v>0.71299999999999997</v>
      </c>
      <c r="V38" s="2">
        <v>15.3</v>
      </c>
      <c r="W38" s="2">
        <v>31.2</v>
      </c>
      <c r="X38" s="2">
        <v>42.6</v>
      </c>
      <c r="Y38" s="2">
        <v>2.9000000000000001E-2</v>
      </c>
      <c r="Z38" s="2">
        <v>52</v>
      </c>
      <c r="AA38" s="2">
        <v>9.6000000000000002E-2</v>
      </c>
      <c r="AB38" s="2">
        <v>0.217</v>
      </c>
      <c r="AC38" s="2">
        <v>0.17399999999999999</v>
      </c>
      <c r="AD38" s="2">
        <v>0.31</v>
      </c>
      <c r="AE38" s="2">
        <v>0.57099999999999995</v>
      </c>
      <c r="AF38" s="2">
        <v>22</v>
      </c>
      <c r="AG38" s="2">
        <v>11</v>
      </c>
      <c r="AH38" s="2">
        <v>2</v>
      </c>
    </row>
    <row r="39" spans="1:34" x14ac:dyDescent="0.45">
      <c r="A39" s="80"/>
      <c r="B39" s="49" t="s">
        <v>56</v>
      </c>
      <c r="C39" s="52">
        <v>13</v>
      </c>
      <c r="D39" s="89"/>
      <c r="E39" s="51">
        <v>1.1839999999999999</v>
      </c>
      <c r="F39" s="2">
        <v>1.022</v>
      </c>
      <c r="G39" s="2">
        <v>0.16200000000000001</v>
      </c>
      <c r="H39" s="2">
        <v>49.2</v>
      </c>
      <c r="I39" s="2">
        <v>30.7</v>
      </c>
      <c r="J39" s="2">
        <v>20.100000000000001</v>
      </c>
      <c r="K39" s="2">
        <v>119.8</v>
      </c>
      <c r="L39" s="2">
        <v>36.6</v>
      </c>
      <c r="M39" s="2">
        <v>39</v>
      </c>
      <c r="N39" s="2">
        <v>56.4</v>
      </c>
      <c r="O39" s="2">
        <v>0.376</v>
      </c>
      <c r="P39" s="2">
        <v>69</v>
      </c>
      <c r="Q39" s="2">
        <v>0.98599999999999999</v>
      </c>
      <c r="R39" s="2">
        <v>1</v>
      </c>
      <c r="S39" s="2">
        <v>62.1</v>
      </c>
      <c r="T39" s="2">
        <v>32.6</v>
      </c>
      <c r="U39" s="2">
        <v>0.71799999999999997</v>
      </c>
      <c r="V39" s="2">
        <v>15</v>
      </c>
      <c r="W39" s="2">
        <v>32.9</v>
      </c>
      <c r="X39" s="2">
        <v>35.6</v>
      </c>
      <c r="Y39" s="2">
        <v>4.5999999999999999E-2</v>
      </c>
      <c r="Z39" s="2">
        <v>49.1</v>
      </c>
      <c r="AA39" s="2">
        <v>8.5000000000000006E-2</v>
      </c>
      <c r="AB39" s="2">
        <v>0.154</v>
      </c>
      <c r="AC39" s="2">
        <v>0.16</v>
      </c>
      <c r="AD39" s="2">
        <v>0.36299999999999999</v>
      </c>
      <c r="AE39" s="2">
        <v>0.6</v>
      </c>
      <c r="AF39" s="2">
        <v>29</v>
      </c>
      <c r="AG39" s="2">
        <v>5</v>
      </c>
      <c r="AH39" s="2">
        <v>302</v>
      </c>
    </row>
    <row r="40" spans="1:34" ht="14.65" thickBot="1" x14ac:dyDescent="0.5">
      <c r="A40" s="80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</row>
    <row r="41" spans="1:34" x14ac:dyDescent="0.45">
      <c r="A41" s="80"/>
      <c r="B41" s="49" t="s">
        <v>43</v>
      </c>
      <c r="C41" s="52">
        <v>4</v>
      </c>
      <c r="D41" s="82" t="s">
        <v>43</v>
      </c>
      <c r="E41" s="51">
        <v>1.1259999999999999</v>
      </c>
      <c r="F41" s="2">
        <v>0.998</v>
      </c>
      <c r="G41" s="2">
        <v>0.128</v>
      </c>
      <c r="H41" s="2">
        <v>53.1</v>
      </c>
      <c r="I41" s="2">
        <v>26.1</v>
      </c>
      <c r="J41" s="2">
        <v>20.8</v>
      </c>
      <c r="K41" s="2">
        <v>115</v>
      </c>
      <c r="L41" s="2">
        <v>32.4</v>
      </c>
      <c r="M41" s="2">
        <v>34.6</v>
      </c>
      <c r="N41" s="2">
        <v>52.9</v>
      </c>
      <c r="O41" s="2">
        <v>0.36599999999999999</v>
      </c>
      <c r="P41" s="2">
        <v>72.599999999999994</v>
      </c>
      <c r="Q41" s="2">
        <v>0.99</v>
      </c>
      <c r="R41" s="2">
        <v>2.1</v>
      </c>
      <c r="S41" s="2">
        <v>58.9</v>
      </c>
      <c r="T41" s="2">
        <v>34.6</v>
      </c>
      <c r="U41" s="2">
        <v>0.748</v>
      </c>
      <c r="V41" s="2">
        <v>15.8</v>
      </c>
      <c r="W41" s="2">
        <v>34</v>
      </c>
      <c r="X41" s="2">
        <v>41.3</v>
      </c>
      <c r="Y41" s="2">
        <v>7.0999999999999994E-2</v>
      </c>
      <c r="Z41" s="2">
        <v>48.6</v>
      </c>
      <c r="AA41" s="2">
        <v>0.104</v>
      </c>
      <c r="AB41" s="2">
        <v>0.184</v>
      </c>
      <c r="AC41" s="2">
        <v>0.158</v>
      </c>
      <c r="AD41" s="2">
        <v>0.29199999999999998</v>
      </c>
      <c r="AE41" s="2">
        <v>0.16700000000000001</v>
      </c>
      <c r="AF41" s="2">
        <v>22</v>
      </c>
      <c r="AG41" s="2">
        <v>12</v>
      </c>
      <c r="AH41" s="2">
        <v>6</v>
      </c>
    </row>
    <row r="42" spans="1:34" x14ac:dyDescent="0.45">
      <c r="A42" s="80"/>
      <c r="B42" s="51" t="s">
        <v>44</v>
      </c>
      <c r="C42" s="52">
        <v>13</v>
      </c>
      <c r="D42" s="89"/>
      <c r="E42" s="51">
        <v>1.1259999999999999</v>
      </c>
      <c r="F42" s="2">
        <v>1.0169999999999999</v>
      </c>
      <c r="G42" s="2">
        <v>0.109</v>
      </c>
      <c r="H42" s="2">
        <v>46.5</v>
      </c>
      <c r="I42" s="2">
        <v>37.9</v>
      </c>
      <c r="J42" s="2">
        <v>15.6</v>
      </c>
      <c r="K42" s="2">
        <v>115.4</v>
      </c>
      <c r="L42" s="2">
        <v>36.6</v>
      </c>
      <c r="M42" s="2">
        <v>45.4</v>
      </c>
      <c r="N42" s="2">
        <v>55.4</v>
      </c>
      <c r="O42" s="2">
        <v>0.26800000000000002</v>
      </c>
      <c r="P42" s="2">
        <v>74.599999999999994</v>
      </c>
      <c r="Q42" s="2">
        <v>0.97199999999999998</v>
      </c>
      <c r="R42" s="2">
        <v>1.5</v>
      </c>
      <c r="S42" s="2">
        <v>59.7</v>
      </c>
      <c r="T42" s="2">
        <v>31.6</v>
      </c>
      <c r="U42" s="2">
        <v>0.73199999999999998</v>
      </c>
      <c r="V42" s="2">
        <v>16.2</v>
      </c>
      <c r="W42" s="2">
        <v>32.4</v>
      </c>
      <c r="X42" s="2">
        <v>38</v>
      </c>
      <c r="Y42" s="2">
        <v>6.0999999999999999E-2</v>
      </c>
      <c r="Z42" s="2">
        <v>49.5</v>
      </c>
      <c r="AA42" s="2">
        <v>0.1</v>
      </c>
      <c r="AB42" s="2">
        <v>0.16400000000000001</v>
      </c>
      <c r="AC42" s="2">
        <v>0.16800000000000001</v>
      </c>
      <c r="AD42" s="2">
        <v>0.33700000000000002</v>
      </c>
      <c r="AE42" s="2">
        <v>0.71399999999999997</v>
      </c>
      <c r="AF42" s="2">
        <v>28</v>
      </c>
      <c r="AG42" s="2">
        <v>6</v>
      </c>
      <c r="AH42" s="2">
        <v>273</v>
      </c>
    </row>
    <row r="43" spans="1:34" ht="14.65" thickBot="1" x14ac:dyDescent="0.5">
      <c r="A43" s="80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</row>
    <row r="44" spans="1:34" x14ac:dyDescent="0.45">
      <c r="A44" s="80"/>
      <c r="B44" s="49" t="s">
        <v>69</v>
      </c>
      <c r="C44" s="52">
        <v>4</v>
      </c>
      <c r="D44" s="82" t="s">
        <v>69</v>
      </c>
      <c r="E44" s="51">
        <v>1.0580000000000001</v>
      </c>
      <c r="F44" s="2">
        <v>0.96799999999999997</v>
      </c>
      <c r="G44" s="2">
        <v>0.09</v>
      </c>
      <c r="H44" s="2">
        <v>48.9</v>
      </c>
      <c r="I44" s="2">
        <v>28</v>
      </c>
      <c r="J44" s="2">
        <v>23.1</v>
      </c>
      <c r="K44" s="2">
        <v>103.5</v>
      </c>
      <c r="L44" s="2">
        <v>37.4</v>
      </c>
      <c r="M44" s="2">
        <v>41.7</v>
      </c>
      <c r="N44" s="2">
        <v>56</v>
      </c>
      <c r="O44" s="2">
        <v>0.41699999999999998</v>
      </c>
      <c r="P44" s="2">
        <v>70.2</v>
      </c>
      <c r="Q44" s="2">
        <v>1.0189999999999999</v>
      </c>
      <c r="R44" s="2">
        <v>6.6</v>
      </c>
      <c r="S44" s="2">
        <v>56.7</v>
      </c>
      <c r="T44" s="2">
        <v>40.200000000000003</v>
      </c>
      <c r="U44" s="2">
        <v>0.745</v>
      </c>
      <c r="V44" s="2">
        <v>17.600000000000001</v>
      </c>
      <c r="W44" s="2">
        <v>33.299999999999997</v>
      </c>
      <c r="X44" s="2">
        <v>46.2</v>
      </c>
      <c r="Y44" s="2">
        <v>7.2999999999999995E-2</v>
      </c>
      <c r="Z44" s="2">
        <v>48.2</v>
      </c>
      <c r="AA44" s="2">
        <v>0.107</v>
      </c>
      <c r="AB44" s="2">
        <v>0.20699999999999999</v>
      </c>
      <c r="AC44" s="2">
        <v>0.188</v>
      </c>
      <c r="AD44" s="2">
        <v>0.35299999999999998</v>
      </c>
      <c r="AE44" s="2">
        <v>0.66700000000000004</v>
      </c>
      <c r="AF44" s="2">
        <v>22</v>
      </c>
      <c r="AG44" s="2">
        <v>10</v>
      </c>
      <c r="AH44" s="2">
        <v>8</v>
      </c>
    </row>
    <row r="45" spans="1:34" x14ac:dyDescent="0.45">
      <c r="A45" s="80"/>
      <c r="B45" s="49" t="s">
        <v>18</v>
      </c>
      <c r="C45" s="52">
        <v>13</v>
      </c>
      <c r="D45" s="89"/>
      <c r="E45" s="51">
        <v>1.1479999999999999</v>
      </c>
      <c r="F45" s="2">
        <v>1</v>
      </c>
      <c r="G45" s="2">
        <v>0.14799999999999999</v>
      </c>
      <c r="H45" s="2">
        <v>54.5</v>
      </c>
      <c r="I45" s="2">
        <v>28</v>
      </c>
      <c r="J45" s="2">
        <v>17.600000000000001</v>
      </c>
      <c r="K45" s="2">
        <v>115.3</v>
      </c>
      <c r="L45" s="2">
        <v>38.5</v>
      </c>
      <c r="M45" s="2">
        <v>32</v>
      </c>
      <c r="N45" s="2">
        <v>54.8</v>
      </c>
      <c r="O45" s="2">
        <v>0.32</v>
      </c>
      <c r="P45" s="2">
        <v>70.5</v>
      </c>
      <c r="Q45" s="2">
        <v>0.98699999999999999</v>
      </c>
      <c r="R45" s="2">
        <v>2.2000000000000002</v>
      </c>
      <c r="S45" s="2">
        <v>57.8</v>
      </c>
      <c r="T45" s="2">
        <v>30.6</v>
      </c>
      <c r="U45" s="2">
        <v>0.76500000000000001</v>
      </c>
      <c r="V45" s="2">
        <v>14</v>
      </c>
      <c r="W45" s="2">
        <v>33.4</v>
      </c>
      <c r="X45" s="2">
        <v>47.8</v>
      </c>
      <c r="Y45" s="2">
        <v>0.06</v>
      </c>
      <c r="Z45" s="2">
        <v>48.8</v>
      </c>
      <c r="AA45" s="2">
        <v>0.08</v>
      </c>
      <c r="AB45" s="2">
        <v>0.19900000000000001</v>
      </c>
      <c r="AC45" s="2">
        <v>0.157</v>
      </c>
      <c r="AD45" s="2">
        <v>0.28699999999999998</v>
      </c>
      <c r="AE45" s="2">
        <v>0.625</v>
      </c>
      <c r="AF45" s="2">
        <v>22</v>
      </c>
      <c r="AG45" s="2">
        <v>7</v>
      </c>
      <c r="AH45" s="2">
        <v>158</v>
      </c>
    </row>
    <row r="46" spans="1:34" ht="14.65" thickBot="1" x14ac:dyDescent="0.5">
      <c r="A46" s="80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</row>
    <row r="47" spans="1:34" ht="14.65" thickBot="1" x14ac:dyDescent="0.5">
      <c r="A47" s="80"/>
      <c r="B47" s="50" t="s">
        <v>30</v>
      </c>
      <c r="C47" s="53">
        <v>4</v>
      </c>
      <c r="D47" s="82" t="s">
        <v>30</v>
      </c>
      <c r="E47" s="58">
        <v>1.127</v>
      </c>
      <c r="F47" s="41">
        <v>0.92400000000000004</v>
      </c>
      <c r="G47" s="41">
        <v>0.20300000000000001</v>
      </c>
      <c r="H47" s="41">
        <v>51.2</v>
      </c>
      <c r="I47" s="41">
        <v>30</v>
      </c>
      <c r="J47" s="41">
        <v>18.8</v>
      </c>
      <c r="K47" s="41">
        <v>114</v>
      </c>
      <c r="L47" s="41">
        <v>37.200000000000003</v>
      </c>
      <c r="M47" s="41">
        <v>35.5</v>
      </c>
      <c r="N47" s="41">
        <v>53.8</v>
      </c>
      <c r="O47" s="41">
        <v>0.32900000000000001</v>
      </c>
      <c r="P47" s="41">
        <v>72.5</v>
      </c>
      <c r="Q47" s="41">
        <v>0.98299999999999998</v>
      </c>
      <c r="R47" s="41">
        <v>4.3</v>
      </c>
      <c r="S47" s="41">
        <v>56</v>
      </c>
      <c r="T47" s="41">
        <v>28.9</v>
      </c>
      <c r="U47" s="41">
        <v>0.73799999999999999</v>
      </c>
      <c r="V47" s="41">
        <v>14.2</v>
      </c>
      <c r="W47" s="41">
        <v>30.6</v>
      </c>
      <c r="X47" s="41">
        <v>36.200000000000003</v>
      </c>
      <c r="Y47" s="41">
        <v>7.4999999999999997E-2</v>
      </c>
      <c r="Z47" s="41">
        <v>47</v>
      </c>
      <c r="AA47" s="41">
        <v>0.109</v>
      </c>
      <c r="AB47" s="41">
        <v>0.16700000000000001</v>
      </c>
      <c r="AC47" s="41">
        <v>0.19700000000000001</v>
      </c>
      <c r="AD47" s="41">
        <v>0.25900000000000001</v>
      </c>
      <c r="AE47" s="41">
        <v>0.36399999999999999</v>
      </c>
      <c r="AF47" s="41">
        <v>25</v>
      </c>
      <c r="AG47" s="41">
        <v>8</v>
      </c>
      <c r="AH47" s="41">
        <v>61</v>
      </c>
    </row>
    <row r="48" spans="1:34" ht="14.65" thickBot="1" x14ac:dyDescent="0.5">
      <c r="A48" s="80"/>
      <c r="B48" s="50" t="s">
        <v>31</v>
      </c>
      <c r="C48" s="53">
        <v>13</v>
      </c>
      <c r="D48" s="89"/>
      <c r="E48" s="58">
        <v>1.054</v>
      </c>
      <c r="F48" s="41">
        <v>0.93500000000000005</v>
      </c>
      <c r="G48" s="41">
        <v>0.11899999999999999</v>
      </c>
      <c r="H48" s="41">
        <v>52.2</v>
      </c>
      <c r="I48" s="41">
        <v>23.8</v>
      </c>
      <c r="J48" s="41">
        <v>24</v>
      </c>
      <c r="K48" s="41">
        <v>110.6</v>
      </c>
      <c r="L48" s="41">
        <v>31.6</v>
      </c>
      <c r="M48" s="41">
        <v>33.6</v>
      </c>
      <c r="N48" s="41">
        <v>51.3</v>
      </c>
      <c r="O48" s="41">
        <v>0.44</v>
      </c>
      <c r="P48" s="41">
        <v>74.5</v>
      </c>
      <c r="Q48" s="41">
        <v>0.94699999999999995</v>
      </c>
      <c r="R48" s="41">
        <v>2.1</v>
      </c>
      <c r="S48" s="41">
        <v>57.9</v>
      </c>
      <c r="T48" s="41">
        <v>30.5</v>
      </c>
      <c r="U48" s="41">
        <v>0.73399999999999999</v>
      </c>
      <c r="V48" s="41">
        <v>18</v>
      </c>
      <c r="W48" s="41">
        <v>32.299999999999997</v>
      </c>
      <c r="X48" s="41">
        <v>34.1</v>
      </c>
      <c r="Y48" s="41">
        <v>8.5999999999999993E-2</v>
      </c>
      <c r="Z48" s="41">
        <v>47</v>
      </c>
      <c r="AA48" s="41">
        <v>0.122</v>
      </c>
      <c r="AB48" s="41">
        <v>0.159</v>
      </c>
      <c r="AC48" s="41">
        <v>0.19900000000000001</v>
      </c>
      <c r="AD48" s="41">
        <v>0.32200000000000001</v>
      </c>
      <c r="AE48" s="41">
        <v>0.71399999999999997</v>
      </c>
      <c r="AF48" s="41">
        <v>26</v>
      </c>
      <c r="AG48" s="41">
        <v>7</v>
      </c>
      <c r="AH48" s="41">
        <v>243</v>
      </c>
    </row>
    <row r="49" spans="1:34" ht="14.65" thickBot="1" x14ac:dyDescent="0.5">
      <c r="A49" s="80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</row>
    <row r="50" spans="1:34" x14ac:dyDescent="0.45">
      <c r="A50" s="80"/>
      <c r="B50" s="51" t="s">
        <v>41</v>
      </c>
      <c r="C50" s="52">
        <v>5</v>
      </c>
      <c r="D50" s="82" t="s">
        <v>41</v>
      </c>
      <c r="E50" s="51">
        <v>1.0740000000000001</v>
      </c>
      <c r="F50" s="2">
        <v>0.999</v>
      </c>
      <c r="G50" s="2">
        <v>7.4999999999999997E-2</v>
      </c>
      <c r="H50" s="2">
        <v>50.5</v>
      </c>
      <c r="I50" s="2">
        <v>30.3</v>
      </c>
      <c r="J50" s="2">
        <v>19.2</v>
      </c>
      <c r="K50" s="2">
        <v>112.4</v>
      </c>
      <c r="L50" s="2">
        <v>34</v>
      </c>
      <c r="M50" s="2">
        <v>38.6</v>
      </c>
      <c r="N50" s="2">
        <v>52.2</v>
      </c>
      <c r="O50" s="2">
        <v>0.33400000000000002</v>
      </c>
      <c r="P50" s="2">
        <v>71</v>
      </c>
      <c r="Q50" s="2">
        <v>0.95599999999999996</v>
      </c>
      <c r="R50" s="2">
        <v>-0.2</v>
      </c>
      <c r="S50" s="2">
        <v>58.4</v>
      </c>
      <c r="T50" s="2">
        <v>27.6</v>
      </c>
      <c r="U50" s="2">
        <v>0.72099999999999997</v>
      </c>
      <c r="V50" s="2">
        <v>15.9</v>
      </c>
      <c r="W50" s="2">
        <v>31.6</v>
      </c>
      <c r="X50" s="2">
        <v>37.700000000000003</v>
      </c>
      <c r="Y50" s="2">
        <v>6.2E-2</v>
      </c>
      <c r="Z50" s="2">
        <v>49</v>
      </c>
      <c r="AA50" s="2">
        <v>0.10100000000000001</v>
      </c>
      <c r="AB50" s="2">
        <v>0.182</v>
      </c>
      <c r="AC50" s="2">
        <v>0.17100000000000001</v>
      </c>
      <c r="AD50" s="2">
        <v>0.27800000000000002</v>
      </c>
      <c r="AE50" s="2">
        <v>0.77800000000000002</v>
      </c>
      <c r="AF50" s="2">
        <v>24</v>
      </c>
      <c r="AG50" s="2">
        <v>9</v>
      </c>
      <c r="AH50" s="2">
        <v>12</v>
      </c>
    </row>
    <row r="51" spans="1:34" ht="14.65" thickBot="1" x14ac:dyDescent="0.5">
      <c r="A51" s="80"/>
      <c r="B51" s="50" t="s">
        <v>42</v>
      </c>
      <c r="C51" s="53">
        <v>12</v>
      </c>
      <c r="D51" s="89"/>
      <c r="E51" s="58">
        <v>1.0940000000000001</v>
      </c>
      <c r="F51" s="41">
        <v>0.95299999999999996</v>
      </c>
      <c r="G51" s="41">
        <v>0.14099999999999999</v>
      </c>
      <c r="H51" s="41">
        <v>44</v>
      </c>
      <c r="I51" s="41">
        <v>41.4</v>
      </c>
      <c r="J51" s="41">
        <v>14.6</v>
      </c>
      <c r="K51" s="41">
        <v>118.3</v>
      </c>
      <c r="L51" s="41">
        <v>39.5</v>
      </c>
      <c r="M51" s="41">
        <v>47.7</v>
      </c>
      <c r="N51" s="41">
        <v>58.4</v>
      </c>
      <c r="O51" s="41">
        <v>0.309</v>
      </c>
      <c r="P51" s="41">
        <v>68</v>
      </c>
      <c r="Q51" s="41">
        <v>0.92400000000000004</v>
      </c>
      <c r="R51" s="41">
        <v>-2</v>
      </c>
      <c r="S51" s="41">
        <v>63.2</v>
      </c>
      <c r="T51" s="41">
        <v>17.600000000000001</v>
      </c>
      <c r="U51" s="41">
        <v>0.74099999999999999</v>
      </c>
      <c r="V51" s="41">
        <v>15</v>
      </c>
      <c r="W51" s="41">
        <v>28.7</v>
      </c>
      <c r="X51" s="41">
        <v>34.5</v>
      </c>
      <c r="Y51" s="41">
        <v>5.1999999999999998E-2</v>
      </c>
      <c r="Z51" s="41">
        <v>46</v>
      </c>
      <c r="AA51" s="41">
        <v>0.09</v>
      </c>
      <c r="AB51" s="41">
        <v>0.14000000000000001</v>
      </c>
      <c r="AC51" s="41">
        <v>0.16700000000000001</v>
      </c>
      <c r="AD51" s="41">
        <v>0.26300000000000001</v>
      </c>
      <c r="AE51" s="41">
        <v>0.58299999999999996</v>
      </c>
      <c r="AF51" s="41">
        <v>28</v>
      </c>
      <c r="AG51" s="41">
        <v>6</v>
      </c>
      <c r="AH51" s="41">
        <v>193</v>
      </c>
    </row>
    <row r="52" spans="1:34" ht="14.65" thickBot="1" x14ac:dyDescent="0.5">
      <c r="A52" s="80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</row>
    <row r="53" spans="1:34" x14ac:dyDescent="0.45">
      <c r="A53" s="80"/>
      <c r="B53" s="49" t="s">
        <v>54</v>
      </c>
      <c r="C53" s="52">
        <v>5</v>
      </c>
      <c r="D53" s="82" t="s">
        <v>72</v>
      </c>
      <c r="E53" s="51">
        <v>1.123</v>
      </c>
      <c r="F53" s="2">
        <v>0.96599999999999997</v>
      </c>
      <c r="G53" s="2">
        <v>0.157</v>
      </c>
      <c r="H53" s="2">
        <v>49.7</v>
      </c>
      <c r="I53" s="2">
        <v>33.4</v>
      </c>
      <c r="J53" s="2">
        <v>16.899999999999999</v>
      </c>
      <c r="K53" s="2">
        <v>113.3</v>
      </c>
      <c r="L53" s="2">
        <v>37.200000000000003</v>
      </c>
      <c r="M53" s="2">
        <v>38.4</v>
      </c>
      <c r="N53" s="2">
        <v>53.6</v>
      </c>
      <c r="O53" s="2">
        <v>0.28199999999999997</v>
      </c>
      <c r="P53" s="2">
        <v>68</v>
      </c>
      <c r="Q53" s="2">
        <v>0.98799999999999999</v>
      </c>
      <c r="R53" s="2">
        <v>3.4</v>
      </c>
      <c r="S53" s="2">
        <v>56.9</v>
      </c>
      <c r="T53" s="2">
        <v>31.9</v>
      </c>
      <c r="U53" s="2">
        <v>0.71399999999999997</v>
      </c>
      <c r="V53" s="2">
        <v>15.4</v>
      </c>
      <c r="W53" s="2">
        <v>31.9</v>
      </c>
      <c r="X53" s="2">
        <v>38</v>
      </c>
      <c r="Y53" s="2">
        <v>6.2E-2</v>
      </c>
      <c r="Z53" s="2">
        <v>48.9</v>
      </c>
      <c r="AA53" s="2">
        <v>0.109</v>
      </c>
      <c r="AB53" s="2">
        <v>0.155</v>
      </c>
      <c r="AC53" s="2">
        <v>0.19600000000000001</v>
      </c>
      <c r="AD53" s="2">
        <v>0.27600000000000002</v>
      </c>
      <c r="AE53" s="2">
        <v>0.42899999999999999</v>
      </c>
      <c r="AF53" s="2">
        <v>27</v>
      </c>
      <c r="AG53" s="2">
        <v>6</v>
      </c>
      <c r="AH53" s="2">
        <v>59</v>
      </c>
    </row>
    <row r="54" spans="1:34" x14ac:dyDescent="0.45">
      <c r="A54" s="80"/>
      <c r="B54" s="49" t="s">
        <v>72</v>
      </c>
      <c r="C54" s="52">
        <v>12</v>
      </c>
      <c r="D54" s="89"/>
      <c r="E54" s="51">
        <v>1.1180000000000001</v>
      </c>
      <c r="F54" s="2">
        <v>0.95199999999999996</v>
      </c>
      <c r="G54" s="2">
        <v>0.16600000000000001</v>
      </c>
      <c r="H54" s="2">
        <v>51.7</v>
      </c>
      <c r="I54" s="2">
        <v>29.6</v>
      </c>
      <c r="J54" s="2">
        <v>18.8</v>
      </c>
      <c r="K54" s="2">
        <v>111.7</v>
      </c>
      <c r="L54" s="2">
        <v>35.6</v>
      </c>
      <c r="M54" s="2">
        <v>36.700000000000003</v>
      </c>
      <c r="N54" s="2">
        <v>53.3</v>
      </c>
      <c r="O54" s="2">
        <v>0.35699999999999998</v>
      </c>
      <c r="P54" s="2">
        <v>67.400000000000006</v>
      </c>
      <c r="Q54" s="2">
        <v>0.997</v>
      </c>
      <c r="R54" s="2">
        <v>4.7</v>
      </c>
      <c r="S54" s="2">
        <v>58</v>
      </c>
      <c r="T54" s="2">
        <v>33.799999999999997</v>
      </c>
      <c r="U54" s="2">
        <v>0.70299999999999996</v>
      </c>
      <c r="V54" s="2">
        <v>15.9</v>
      </c>
      <c r="W54" s="2">
        <v>32.4</v>
      </c>
      <c r="X54" s="2">
        <v>46.9</v>
      </c>
      <c r="Y54" s="2">
        <v>6.4000000000000001E-2</v>
      </c>
      <c r="Z54" s="2">
        <v>47.5</v>
      </c>
      <c r="AA54" s="2">
        <v>0.13</v>
      </c>
      <c r="AB54" s="2">
        <v>0.17899999999999999</v>
      </c>
      <c r="AC54" s="2">
        <v>0.21199999999999999</v>
      </c>
      <c r="AD54" s="2">
        <v>0.314</v>
      </c>
      <c r="AE54" s="2">
        <v>0.6</v>
      </c>
      <c r="AF54" s="2">
        <v>27</v>
      </c>
      <c r="AG54" s="2">
        <v>6</v>
      </c>
      <c r="AH54" s="2">
        <v>272</v>
      </c>
    </row>
    <row r="55" spans="1:34" ht="14.65" thickBot="1" x14ac:dyDescent="0.5">
      <c r="A55" s="80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</row>
    <row r="56" spans="1:34" x14ac:dyDescent="0.45">
      <c r="A56" s="80"/>
      <c r="B56" s="49" t="s">
        <v>28</v>
      </c>
      <c r="C56" s="52">
        <v>5</v>
      </c>
      <c r="D56" s="82" t="s">
        <v>29</v>
      </c>
      <c r="E56" s="51">
        <v>1.085</v>
      </c>
      <c r="F56" s="2">
        <v>0.99199999999999999</v>
      </c>
      <c r="G56" s="2">
        <v>9.2999999999999999E-2</v>
      </c>
      <c r="H56" s="2">
        <v>51.6</v>
      </c>
      <c r="I56" s="2">
        <v>27.9</v>
      </c>
      <c r="J56" s="2">
        <v>20.5</v>
      </c>
      <c r="K56" s="2">
        <v>113.4</v>
      </c>
      <c r="L56" s="2">
        <v>38</v>
      </c>
      <c r="M56" s="2">
        <v>33.1</v>
      </c>
      <c r="N56" s="2">
        <v>53.6</v>
      </c>
      <c r="O56" s="2">
        <v>0.39400000000000002</v>
      </c>
      <c r="P56" s="2">
        <v>73.8</v>
      </c>
      <c r="Q56" s="2">
        <v>0.95699999999999996</v>
      </c>
      <c r="R56" s="2">
        <v>0.4</v>
      </c>
      <c r="S56" s="2">
        <v>57.3</v>
      </c>
      <c r="T56" s="2">
        <v>33.799999999999997</v>
      </c>
      <c r="U56" s="2">
        <v>0.70199999999999996</v>
      </c>
      <c r="V56" s="2">
        <v>18.7</v>
      </c>
      <c r="W56" s="2">
        <v>32.4</v>
      </c>
      <c r="X56" s="2">
        <v>41</v>
      </c>
      <c r="Y56" s="2">
        <v>7.8E-2</v>
      </c>
      <c r="Z56" s="2">
        <v>48.5</v>
      </c>
      <c r="AA56" s="2">
        <v>0.105</v>
      </c>
      <c r="AB56" s="2">
        <v>0.187</v>
      </c>
      <c r="AC56" s="2">
        <v>0.185</v>
      </c>
      <c r="AD56" s="2">
        <v>0.33600000000000002</v>
      </c>
      <c r="AE56" s="2">
        <v>0.90900000000000003</v>
      </c>
      <c r="AF56" s="2">
        <v>29</v>
      </c>
      <c r="AG56" s="2">
        <v>5</v>
      </c>
      <c r="AH56" s="2">
        <v>75</v>
      </c>
    </row>
    <row r="57" spans="1:34" x14ac:dyDescent="0.45">
      <c r="A57" s="80"/>
      <c r="B57" s="51" t="s">
        <v>29</v>
      </c>
      <c r="C57" s="52">
        <v>12</v>
      </c>
      <c r="D57" s="89"/>
      <c r="E57" s="51">
        <v>1.101</v>
      </c>
      <c r="F57" s="2">
        <v>0.98099999999999998</v>
      </c>
      <c r="G57" s="2">
        <v>0.12</v>
      </c>
      <c r="H57" s="2">
        <v>47.5</v>
      </c>
      <c r="I57" s="2">
        <v>34.4</v>
      </c>
      <c r="J57" s="2">
        <v>18.100000000000001</v>
      </c>
      <c r="K57" s="2">
        <v>117.9</v>
      </c>
      <c r="L57" s="2">
        <v>36.6</v>
      </c>
      <c r="M57" s="2">
        <v>42.8</v>
      </c>
      <c r="N57" s="2">
        <v>55.8</v>
      </c>
      <c r="O57" s="2">
        <v>0.318</v>
      </c>
      <c r="P57" s="2">
        <v>68.400000000000006</v>
      </c>
      <c r="Q57" s="2">
        <v>0.93700000000000006</v>
      </c>
      <c r="R57" s="2">
        <v>-1</v>
      </c>
      <c r="S57" s="2">
        <v>61.6</v>
      </c>
      <c r="T57" s="2">
        <v>24.7</v>
      </c>
      <c r="U57" s="2">
        <v>0.75700000000000001</v>
      </c>
      <c r="V57" s="2">
        <v>17</v>
      </c>
      <c r="W57" s="2">
        <v>33.200000000000003</v>
      </c>
      <c r="X57" s="2">
        <v>38</v>
      </c>
      <c r="Y57" s="2">
        <v>4.9000000000000002E-2</v>
      </c>
      <c r="Z57" s="2">
        <v>48.5</v>
      </c>
      <c r="AA57" s="2">
        <v>7.4999999999999997E-2</v>
      </c>
      <c r="AB57" s="2">
        <v>0.16200000000000001</v>
      </c>
      <c r="AC57" s="2">
        <v>0.16400000000000001</v>
      </c>
      <c r="AD57" s="2">
        <v>0.33600000000000002</v>
      </c>
      <c r="AE57" s="2">
        <v>0.83299999999999996</v>
      </c>
      <c r="AF57" s="2">
        <v>25</v>
      </c>
      <c r="AG57" s="2">
        <v>9</v>
      </c>
      <c r="AH57" s="2">
        <v>83</v>
      </c>
    </row>
    <row r="58" spans="1:34" ht="14.65" thickBot="1" x14ac:dyDescent="0.5">
      <c r="A58" s="80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</row>
    <row r="59" spans="1:34" ht="14.65" thickBot="1" x14ac:dyDescent="0.5">
      <c r="A59" s="80"/>
      <c r="B59" s="50" t="s">
        <v>17</v>
      </c>
      <c r="C59" s="53">
        <v>5</v>
      </c>
      <c r="D59" s="82" t="s">
        <v>17</v>
      </c>
      <c r="E59" s="58">
        <v>1.0720000000000001</v>
      </c>
      <c r="F59" s="41">
        <v>0.97499999999999998</v>
      </c>
      <c r="G59" s="41">
        <v>9.7000000000000003E-2</v>
      </c>
      <c r="H59" s="41">
        <v>49.2</v>
      </c>
      <c r="I59" s="41">
        <v>31.5</v>
      </c>
      <c r="J59" s="41">
        <v>19.3</v>
      </c>
      <c r="K59" s="41">
        <v>114.8</v>
      </c>
      <c r="L59" s="41">
        <v>33.4</v>
      </c>
      <c r="M59" s="41">
        <v>42.5</v>
      </c>
      <c r="N59" s="41">
        <v>54.5</v>
      </c>
      <c r="O59" s="41">
        <v>0.35</v>
      </c>
      <c r="P59" s="41">
        <v>73</v>
      </c>
      <c r="Q59" s="41">
        <v>0.93799999999999994</v>
      </c>
      <c r="R59" s="41">
        <v>-3</v>
      </c>
      <c r="S59" s="41">
        <v>61.8</v>
      </c>
      <c r="T59" s="41">
        <v>31.2</v>
      </c>
      <c r="U59" s="41">
        <v>0.72499999999999998</v>
      </c>
      <c r="V59" s="41">
        <v>19.3</v>
      </c>
      <c r="W59" s="41">
        <v>30.8</v>
      </c>
      <c r="X59" s="41">
        <v>39.1</v>
      </c>
      <c r="Y59" s="41">
        <v>5.8000000000000003E-2</v>
      </c>
      <c r="Z59" s="41">
        <v>46.3</v>
      </c>
      <c r="AA59" s="41">
        <v>7.1999999999999995E-2</v>
      </c>
      <c r="AB59" s="41">
        <v>0.155</v>
      </c>
      <c r="AC59" s="41">
        <v>0.153</v>
      </c>
      <c r="AD59" s="41">
        <v>0.28499999999999998</v>
      </c>
      <c r="AE59" s="41">
        <v>0.75</v>
      </c>
      <c r="AF59" s="41">
        <v>25</v>
      </c>
      <c r="AG59" s="41">
        <v>9</v>
      </c>
      <c r="AH59" s="41">
        <v>7</v>
      </c>
    </row>
    <row r="60" spans="1:34" x14ac:dyDescent="0.45">
      <c r="A60" s="80"/>
      <c r="B60" s="49" t="s">
        <v>71</v>
      </c>
      <c r="C60" s="52">
        <v>12</v>
      </c>
      <c r="D60" s="89"/>
      <c r="E60" s="51">
        <v>1.131</v>
      </c>
      <c r="F60" s="2">
        <v>0.91200000000000003</v>
      </c>
      <c r="G60" s="2">
        <v>0.219</v>
      </c>
      <c r="H60" s="2">
        <v>41.8</v>
      </c>
      <c r="I60" s="2">
        <v>39.700000000000003</v>
      </c>
      <c r="J60" s="2">
        <v>18.399999999999999</v>
      </c>
      <c r="K60" s="2">
        <v>116.7</v>
      </c>
      <c r="L60" s="2">
        <v>36.5</v>
      </c>
      <c r="M60" s="2">
        <v>49.6</v>
      </c>
      <c r="N60" s="2">
        <v>55.4</v>
      </c>
      <c r="O60" s="2">
        <v>0.33800000000000002</v>
      </c>
      <c r="P60" s="2">
        <v>68.900000000000006</v>
      </c>
      <c r="Q60" s="2">
        <v>0.97</v>
      </c>
      <c r="R60" s="2">
        <v>6</v>
      </c>
      <c r="S60" s="2">
        <v>62.1</v>
      </c>
      <c r="T60" s="2">
        <v>22.8</v>
      </c>
      <c r="U60" s="2">
        <v>0.749</v>
      </c>
      <c r="V60" s="2">
        <v>13.1</v>
      </c>
      <c r="W60" s="2">
        <v>33.1</v>
      </c>
      <c r="X60" s="2">
        <v>44.4</v>
      </c>
      <c r="Y60" s="2">
        <v>0.04</v>
      </c>
      <c r="Z60" s="2">
        <v>47.7</v>
      </c>
      <c r="AA60" s="2">
        <v>0.13700000000000001</v>
      </c>
      <c r="AB60" s="2">
        <v>0.16300000000000001</v>
      </c>
      <c r="AC60" s="2">
        <v>0.22600000000000001</v>
      </c>
      <c r="AD60" s="2">
        <v>0.29799999999999999</v>
      </c>
      <c r="AE60" s="2">
        <v>0.5</v>
      </c>
      <c r="AF60" s="2">
        <v>30</v>
      </c>
      <c r="AG60" s="2">
        <v>4</v>
      </c>
      <c r="AH60" s="2">
        <v>230</v>
      </c>
    </row>
    <row r="61" spans="1:34" ht="14.65" thickBot="1" x14ac:dyDescent="0.5">
      <c r="A61" s="80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</row>
    <row r="62" spans="1:34" x14ac:dyDescent="0.45">
      <c r="A62" s="80"/>
      <c r="B62" s="49" t="s">
        <v>2</v>
      </c>
      <c r="C62" s="52">
        <v>6</v>
      </c>
      <c r="D62" s="82" t="s">
        <v>2</v>
      </c>
      <c r="E62" s="51">
        <v>1.143</v>
      </c>
      <c r="F62" s="2">
        <v>1</v>
      </c>
      <c r="G62" s="2">
        <v>0.14299999999999999</v>
      </c>
      <c r="H62" s="2">
        <v>45.3</v>
      </c>
      <c r="I62" s="2">
        <v>38.700000000000003</v>
      </c>
      <c r="J62" s="2">
        <v>16</v>
      </c>
      <c r="K62" s="2">
        <v>118.5</v>
      </c>
      <c r="L62" s="2">
        <v>37.1</v>
      </c>
      <c r="M62" s="2">
        <v>48.3</v>
      </c>
      <c r="N62" s="2">
        <v>57.2</v>
      </c>
      <c r="O62" s="2">
        <v>0.30199999999999999</v>
      </c>
      <c r="P62" s="2">
        <v>70.900000000000006</v>
      </c>
      <c r="Q62" s="2">
        <v>0.96199999999999997</v>
      </c>
      <c r="R62" s="2">
        <v>1.3</v>
      </c>
      <c r="S62" s="2">
        <v>63.9</v>
      </c>
      <c r="T62" s="2">
        <v>31.6</v>
      </c>
      <c r="U62" s="2">
        <v>0.75700000000000001</v>
      </c>
      <c r="V62" s="2">
        <v>17.100000000000001</v>
      </c>
      <c r="W62" s="2">
        <v>35.700000000000003</v>
      </c>
      <c r="X62" s="2">
        <v>46.2</v>
      </c>
      <c r="Y62" s="2">
        <v>5.3999999999999999E-2</v>
      </c>
      <c r="Z62" s="2">
        <v>50.6</v>
      </c>
      <c r="AA62" s="2">
        <v>0.1</v>
      </c>
      <c r="AB62" s="2">
        <v>0.188</v>
      </c>
      <c r="AC62" s="2">
        <v>0.16500000000000001</v>
      </c>
      <c r="AD62" s="2">
        <v>0.29499999999999998</v>
      </c>
      <c r="AE62" s="2">
        <v>0.625</v>
      </c>
      <c r="AF62" s="2">
        <v>24</v>
      </c>
      <c r="AG62" s="2">
        <v>9</v>
      </c>
      <c r="AH62" s="2">
        <v>53</v>
      </c>
    </row>
    <row r="63" spans="1:34" ht="14.65" thickBot="1" x14ac:dyDescent="0.5">
      <c r="A63" s="80"/>
      <c r="B63" s="50" t="s">
        <v>5</v>
      </c>
      <c r="C63" s="53">
        <v>11</v>
      </c>
      <c r="D63" s="89"/>
      <c r="E63" s="58">
        <v>1.117</v>
      </c>
      <c r="F63" s="41">
        <v>0.91400000000000003</v>
      </c>
      <c r="G63" s="41">
        <v>0.20300000000000001</v>
      </c>
      <c r="H63" s="41">
        <v>43.9</v>
      </c>
      <c r="I63" s="41">
        <v>37.799999999999997</v>
      </c>
      <c r="J63" s="41">
        <v>18.3</v>
      </c>
      <c r="K63" s="41">
        <v>111.5</v>
      </c>
      <c r="L63" s="41">
        <v>33.5</v>
      </c>
      <c r="M63" s="41">
        <v>47.4</v>
      </c>
      <c r="N63" s="41">
        <v>52.4</v>
      </c>
      <c r="O63" s="41">
        <v>0.32200000000000001</v>
      </c>
      <c r="P63" s="41">
        <v>68.400000000000006</v>
      </c>
      <c r="Q63" s="41">
        <v>1.0069999999999999</v>
      </c>
      <c r="R63" s="41">
        <v>5.4</v>
      </c>
      <c r="S63" s="41">
        <v>58.5</v>
      </c>
      <c r="T63" s="41">
        <v>36.299999999999997</v>
      </c>
      <c r="U63" s="41">
        <v>0.72699999999999998</v>
      </c>
      <c r="V63" s="41">
        <v>16.399999999999999</v>
      </c>
      <c r="W63" s="41">
        <v>30.7</v>
      </c>
      <c r="X63" s="41">
        <v>35.4</v>
      </c>
      <c r="Y63" s="41">
        <v>9.9000000000000005E-2</v>
      </c>
      <c r="Z63" s="41">
        <v>44.4</v>
      </c>
      <c r="AA63" s="41">
        <v>0.12</v>
      </c>
      <c r="AB63" s="41">
        <v>0.14399999999999999</v>
      </c>
      <c r="AC63" s="41">
        <v>0.2</v>
      </c>
      <c r="AD63" s="41">
        <v>0.36099999999999999</v>
      </c>
      <c r="AE63" s="41">
        <v>0.33300000000000002</v>
      </c>
      <c r="AF63" s="41">
        <v>28</v>
      </c>
      <c r="AG63" s="41">
        <v>6</v>
      </c>
      <c r="AH63" s="41">
        <v>104</v>
      </c>
    </row>
    <row r="64" spans="1:34" ht="14.65" thickBot="1" x14ac:dyDescent="0.5">
      <c r="A64" s="80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</row>
    <row r="65" spans="1:34" x14ac:dyDescent="0.45">
      <c r="A65" s="80"/>
      <c r="B65" s="49" t="s">
        <v>19</v>
      </c>
      <c r="C65" s="52">
        <v>6</v>
      </c>
      <c r="D65" s="82" t="s">
        <v>19</v>
      </c>
      <c r="E65" s="51">
        <v>1.0760000000000001</v>
      </c>
      <c r="F65" s="2">
        <v>1</v>
      </c>
      <c r="G65" s="2">
        <v>7.5999999999999998E-2</v>
      </c>
      <c r="H65" s="2">
        <v>47.4</v>
      </c>
      <c r="I65" s="2">
        <v>32.200000000000003</v>
      </c>
      <c r="J65" s="2">
        <v>20.399999999999999</v>
      </c>
      <c r="K65" s="2">
        <v>110.7</v>
      </c>
      <c r="L65" s="2">
        <v>34.1</v>
      </c>
      <c r="M65" s="2">
        <v>40.200000000000003</v>
      </c>
      <c r="N65" s="2">
        <v>51.1</v>
      </c>
      <c r="O65" s="2">
        <v>0.35599999999999998</v>
      </c>
      <c r="P65" s="2">
        <v>71.7</v>
      </c>
      <c r="Q65" s="2">
        <v>0.97599999999999998</v>
      </c>
      <c r="R65" s="2">
        <v>3.7</v>
      </c>
      <c r="S65" s="2">
        <v>57.3</v>
      </c>
      <c r="T65" s="2">
        <v>22.8</v>
      </c>
      <c r="U65" s="2">
        <v>0.72099999999999997</v>
      </c>
      <c r="V65" s="2">
        <v>12.4</v>
      </c>
      <c r="W65" s="2">
        <v>32.5</v>
      </c>
      <c r="X65" s="2">
        <v>43.5</v>
      </c>
      <c r="Y65" s="2">
        <v>6.7000000000000004E-2</v>
      </c>
      <c r="Z65" s="2">
        <v>50.5</v>
      </c>
      <c r="AA65" s="2">
        <v>0.122</v>
      </c>
      <c r="AB65" s="2">
        <v>0.19500000000000001</v>
      </c>
      <c r="AC65" s="2">
        <v>0.19800000000000001</v>
      </c>
      <c r="AD65" s="2">
        <v>0.39400000000000002</v>
      </c>
      <c r="AE65" s="2">
        <v>0.58299999999999996</v>
      </c>
      <c r="AF65" s="2">
        <v>22</v>
      </c>
      <c r="AG65" s="2">
        <v>11</v>
      </c>
      <c r="AH65" s="2">
        <v>29</v>
      </c>
    </row>
    <row r="66" spans="1:34" x14ac:dyDescent="0.45">
      <c r="A66" s="80"/>
      <c r="B66" s="49" t="s">
        <v>91</v>
      </c>
      <c r="C66" s="52">
        <v>11</v>
      </c>
      <c r="D66" s="89"/>
      <c r="E66" s="51">
        <v>1.107</v>
      </c>
      <c r="F66" s="2">
        <v>1.024</v>
      </c>
      <c r="G66" s="2">
        <v>8.3000000000000004E-2</v>
      </c>
      <c r="H66" s="2">
        <v>51.2</v>
      </c>
      <c r="I66" s="2">
        <v>29.6</v>
      </c>
      <c r="J66" s="2">
        <v>19.2</v>
      </c>
      <c r="K66" s="2">
        <v>115</v>
      </c>
      <c r="L66" s="2">
        <v>35.6</v>
      </c>
      <c r="M66" s="2">
        <v>37.200000000000003</v>
      </c>
      <c r="N66" s="2">
        <v>54.1</v>
      </c>
      <c r="O66" s="2">
        <v>0.34799999999999998</v>
      </c>
      <c r="P66" s="2">
        <v>73</v>
      </c>
      <c r="Q66" s="2">
        <v>0.96</v>
      </c>
      <c r="R66" s="2">
        <v>-0.5</v>
      </c>
      <c r="S66" s="2">
        <v>60.9</v>
      </c>
      <c r="T66" s="2">
        <v>25.5</v>
      </c>
      <c r="U66" s="2">
        <v>0.751</v>
      </c>
      <c r="V66" s="2">
        <v>14.7</v>
      </c>
      <c r="W66" s="2">
        <v>33.5</v>
      </c>
      <c r="X66" s="2">
        <v>38.1</v>
      </c>
      <c r="Y66" s="2">
        <v>5.8999999999999997E-2</v>
      </c>
      <c r="Z66" s="2">
        <v>49.5</v>
      </c>
      <c r="AA66" s="2">
        <v>8.2000000000000003E-2</v>
      </c>
      <c r="AB66" s="2">
        <v>0.17299999999999999</v>
      </c>
      <c r="AC66" s="2">
        <v>0.14899999999999999</v>
      </c>
      <c r="AD66" s="2">
        <v>0.30499999999999999</v>
      </c>
      <c r="AE66" s="2">
        <v>0.54600000000000004</v>
      </c>
      <c r="AF66" s="2">
        <v>23</v>
      </c>
      <c r="AG66" s="2">
        <v>14</v>
      </c>
      <c r="AH66" s="2">
        <v>24</v>
      </c>
    </row>
    <row r="67" spans="1:34" ht="14.65" thickBot="1" x14ac:dyDescent="0.5">
      <c r="A67" s="80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</row>
    <row r="68" spans="1:34" ht="14.65" thickBot="1" x14ac:dyDescent="0.5">
      <c r="A68" s="80"/>
      <c r="B68" s="50" t="s">
        <v>57</v>
      </c>
      <c r="C68" s="53">
        <v>6</v>
      </c>
      <c r="D68" s="82" t="s">
        <v>57</v>
      </c>
      <c r="E68" s="58">
        <v>1.125</v>
      </c>
      <c r="F68" s="41">
        <v>1.0009999999999999</v>
      </c>
      <c r="G68" s="41">
        <v>0.124</v>
      </c>
      <c r="H68" s="41">
        <v>46.2</v>
      </c>
      <c r="I68" s="41">
        <v>33.799999999999997</v>
      </c>
      <c r="J68" s="41">
        <v>20</v>
      </c>
      <c r="K68" s="41">
        <v>112.7</v>
      </c>
      <c r="L68" s="41">
        <v>31.1</v>
      </c>
      <c r="M68" s="41">
        <v>46.9</v>
      </c>
      <c r="N68" s="41">
        <v>52.3</v>
      </c>
      <c r="O68" s="41">
        <v>0.34599999999999997</v>
      </c>
      <c r="P68" s="41">
        <v>74.5</v>
      </c>
      <c r="Q68" s="41">
        <v>1</v>
      </c>
      <c r="R68" s="41">
        <v>0.5</v>
      </c>
      <c r="S68" s="41">
        <v>62.8</v>
      </c>
      <c r="T68" s="41">
        <v>35.299999999999997</v>
      </c>
      <c r="U68" s="41">
        <v>0.76900000000000002</v>
      </c>
      <c r="V68" s="41">
        <v>15.5</v>
      </c>
      <c r="W68" s="41">
        <v>33.6</v>
      </c>
      <c r="X68" s="41">
        <v>30.5</v>
      </c>
      <c r="Y68" s="41">
        <v>6.4000000000000001E-2</v>
      </c>
      <c r="Z68" s="41">
        <v>47.3</v>
      </c>
      <c r="AA68" s="41">
        <v>5.8000000000000003E-2</v>
      </c>
      <c r="AB68" s="41">
        <v>0.17100000000000001</v>
      </c>
      <c r="AC68" s="41">
        <v>0.121</v>
      </c>
      <c r="AD68" s="41">
        <v>0.26800000000000002</v>
      </c>
      <c r="AE68" s="41">
        <v>0.5</v>
      </c>
      <c r="AF68" s="41">
        <v>21</v>
      </c>
      <c r="AG68" s="41">
        <v>12</v>
      </c>
      <c r="AH68" s="41">
        <v>11</v>
      </c>
    </row>
    <row r="69" spans="1:34" x14ac:dyDescent="0.45">
      <c r="A69" s="80"/>
      <c r="B69" s="49" t="s">
        <v>73</v>
      </c>
      <c r="C69" s="52">
        <v>11</v>
      </c>
      <c r="D69" s="89"/>
      <c r="E69" s="51">
        <v>1.093</v>
      </c>
      <c r="F69" s="2">
        <v>1.002</v>
      </c>
      <c r="G69" s="2">
        <v>9.0999999999999998E-2</v>
      </c>
      <c r="H69" s="2">
        <v>46.7</v>
      </c>
      <c r="I69" s="2">
        <v>32.200000000000003</v>
      </c>
      <c r="J69" s="2">
        <v>21.1</v>
      </c>
      <c r="K69" s="2">
        <v>116.7</v>
      </c>
      <c r="L69" s="2">
        <v>39.1</v>
      </c>
      <c r="M69" s="2">
        <v>37.6</v>
      </c>
      <c r="N69" s="2">
        <v>54.1</v>
      </c>
      <c r="O69" s="2">
        <v>0.36699999999999999</v>
      </c>
      <c r="P69" s="2">
        <v>71.400000000000006</v>
      </c>
      <c r="Q69" s="2">
        <v>0.93100000000000005</v>
      </c>
      <c r="R69" s="2">
        <v>-0.1</v>
      </c>
      <c r="S69" s="2">
        <v>57.7</v>
      </c>
      <c r="T69" s="2">
        <v>20.9</v>
      </c>
      <c r="U69" s="2">
        <v>0.76400000000000001</v>
      </c>
      <c r="V69" s="2">
        <v>15.3</v>
      </c>
      <c r="W69" s="2">
        <v>34.4</v>
      </c>
      <c r="X69" s="2">
        <v>37.4</v>
      </c>
      <c r="Y69" s="2">
        <v>4.2999999999999997E-2</v>
      </c>
      <c r="Z69" s="2">
        <v>51</v>
      </c>
      <c r="AA69" s="2">
        <v>0.108</v>
      </c>
      <c r="AB69" s="2">
        <v>0.20100000000000001</v>
      </c>
      <c r="AC69" s="2">
        <v>0.17199999999999999</v>
      </c>
      <c r="AD69" s="2">
        <v>0.28599999999999998</v>
      </c>
      <c r="AE69" s="2">
        <v>0.44400000000000001</v>
      </c>
      <c r="AF69" s="2">
        <v>22</v>
      </c>
      <c r="AG69" s="2">
        <v>12</v>
      </c>
      <c r="AH69" s="2">
        <v>49</v>
      </c>
    </row>
    <row r="70" spans="1:34" ht="14.65" thickBot="1" x14ac:dyDescent="0.5">
      <c r="A70" s="8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</row>
    <row r="71" spans="1:34" x14ac:dyDescent="0.45">
      <c r="A71" s="80"/>
      <c r="B71" s="51" t="s">
        <v>32</v>
      </c>
      <c r="C71" s="52">
        <v>6</v>
      </c>
      <c r="D71" s="82" t="s">
        <v>33</v>
      </c>
      <c r="E71" s="51">
        <v>1.1779999999999999</v>
      </c>
      <c r="F71" s="2">
        <v>1.03</v>
      </c>
      <c r="G71" s="2">
        <v>0.14799999999999999</v>
      </c>
      <c r="H71" s="2">
        <v>45.2</v>
      </c>
      <c r="I71" s="2">
        <v>31.2</v>
      </c>
      <c r="J71" s="2">
        <v>23.6</v>
      </c>
      <c r="K71" s="2">
        <v>119.2</v>
      </c>
      <c r="L71" s="2">
        <v>37</v>
      </c>
      <c r="M71" s="2">
        <v>41.5</v>
      </c>
      <c r="N71" s="2">
        <v>56.2</v>
      </c>
      <c r="O71" s="2">
        <v>0.46800000000000003</v>
      </c>
      <c r="P71" s="2">
        <v>71.7</v>
      </c>
      <c r="Q71" s="2">
        <v>0.98299999999999998</v>
      </c>
      <c r="R71" s="2">
        <v>3.4</v>
      </c>
      <c r="S71" s="2">
        <v>62.9</v>
      </c>
      <c r="T71" s="2">
        <v>32.6</v>
      </c>
      <c r="U71" s="2">
        <v>0.69299999999999995</v>
      </c>
      <c r="V71" s="2">
        <v>14.9</v>
      </c>
      <c r="W71" s="2">
        <v>33.6</v>
      </c>
      <c r="X71" s="2">
        <v>37.799999999999997</v>
      </c>
      <c r="Y71" s="2">
        <v>4.5999999999999999E-2</v>
      </c>
      <c r="Z71" s="2">
        <v>50.7</v>
      </c>
      <c r="AA71" s="2">
        <v>0.13100000000000001</v>
      </c>
      <c r="AB71" s="2">
        <v>0.17499999999999999</v>
      </c>
      <c r="AC71" s="2">
        <v>0.19700000000000001</v>
      </c>
      <c r="AD71" s="2">
        <v>0.35299999999999998</v>
      </c>
      <c r="AE71" s="2">
        <v>0.33300000000000002</v>
      </c>
      <c r="AF71" s="2">
        <v>22</v>
      </c>
      <c r="AG71" s="2">
        <v>11</v>
      </c>
      <c r="AH71" s="2">
        <v>65</v>
      </c>
    </row>
    <row r="72" spans="1:34" x14ac:dyDescent="0.45">
      <c r="A72" s="80"/>
      <c r="B72" s="51" t="s">
        <v>33</v>
      </c>
      <c r="C72" s="52">
        <v>11</v>
      </c>
      <c r="D72" s="89"/>
      <c r="E72" s="51">
        <v>1.1100000000000001</v>
      </c>
      <c r="F72" s="2">
        <v>0.96499999999999997</v>
      </c>
      <c r="G72" s="2">
        <v>0.14499999999999999</v>
      </c>
      <c r="H72" s="2">
        <v>50.2</v>
      </c>
      <c r="I72" s="2">
        <v>28.1</v>
      </c>
      <c r="J72" s="2">
        <v>21.7</v>
      </c>
      <c r="K72" s="2">
        <v>114.4</v>
      </c>
      <c r="L72" s="2">
        <v>35</v>
      </c>
      <c r="M72" s="2">
        <v>36.799999999999997</v>
      </c>
      <c r="N72" s="2">
        <v>53.8</v>
      </c>
      <c r="O72" s="2">
        <v>0.43</v>
      </c>
      <c r="P72" s="2">
        <v>61.9</v>
      </c>
      <c r="Q72" s="2">
        <v>0.96499999999999997</v>
      </c>
      <c r="R72" s="2">
        <v>5.3</v>
      </c>
      <c r="S72" s="2">
        <v>58.5</v>
      </c>
      <c r="T72" s="2">
        <v>35.9</v>
      </c>
      <c r="U72" s="2">
        <v>0.76900000000000002</v>
      </c>
      <c r="V72" s="2">
        <v>18.2</v>
      </c>
      <c r="W72" s="2">
        <v>31.2</v>
      </c>
      <c r="X72" s="2">
        <v>38.6</v>
      </c>
      <c r="Y72" s="2">
        <v>5.1999999999999998E-2</v>
      </c>
      <c r="Z72" s="2">
        <v>51.7</v>
      </c>
      <c r="AA72" s="2">
        <v>0.14099999999999999</v>
      </c>
      <c r="AB72" s="2">
        <v>0.16400000000000001</v>
      </c>
      <c r="AC72" s="2">
        <v>0.214</v>
      </c>
      <c r="AD72" s="2">
        <v>0.35799999999999998</v>
      </c>
      <c r="AE72" s="2">
        <v>0.71399999999999997</v>
      </c>
      <c r="AF72" s="2">
        <v>30</v>
      </c>
      <c r="AG72" s="2">
        <v>3</v>
      </c>
      <c r="AH72" s="2">
        <v>142</v>
      </c>
    </row>
    <row r="73" spans="1:34" ht="14.65" thickBot="1" x14ac:dyDescent="0.5">
      <c r="A73" s="80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</row>
    <row r="74" spans="1:34" ht="14.65" thickBot="1" x14ac:dyDescent="0.5">
      <c r="A74" s="80"/>
      <c r="B74" s="50" t="s">
        <v>35</v>
      </c>
      <c r="C74" s="53">
        <v>7</v>
      </c>
      <c r="D74" s="82" t="s">
        <v>36</v>
      </c>
      <c r="E74" s="58">
        <v>1.0640000000000001</v>
      </c>
      <c r="F74" s="41">
        <v>0.96699999999999997</v>
      </c>
      <c r="G74" s="41">
        <v>9.7000000000000003E-2</v>
      </c>
      <c r="H74" s="41">
        <v>56.5</v>
      </c>
      <c r="I74" s="41">
        <v>29.3</v>
      </c>
      <c r="J74" s="41">
        <v>14.1</v>
      </c>
      <c r="K74" s="41">
        <v>110.8</v>
      </c>
      <c r="L74" s="41">
        <v>35.200000000000003</v>
      </c>
      <c r="M74" s="41">
        <v>34.299999999999997</v>
      </c>
      <c r="N74" s="41">
        <v>53.1</v>
      </c>
      <c r="O74" s="41">
        <v>0.24299999999999999</v>
      </c>
      <c r="P74" s="41">
        <v>71.599999999999994</v>
      </c>
      <c r="Q74" s="41">
        <v>0.95899999999999996</v>
      </c>
      <c r="R74" s="41">
        <v>-0.9</v>
      </c>
      <c r="S74" s="41">
        <v>58.3</v>
      </c>
      <c r="T74" s="41">
        <v>28</v>
      </c>
      <c r="U74" s="41">
        <v>0.745</v>
      </c>
      <c r="V74" s="41">
        <v>16.3</v>
      </c>
      <c r="W74" s="41">
        <v>30.8</v>
      </c>
      <c r="X74" s="41">
        <v>40.6</v>
      </c>
      <c r="Y74" s="41">
        <v>7.6999999999999999E-2</v>
      </c>
      <c r="Z74" s="41">
        <v>46.2</v>
      </c>
      <c r="AA74" s="41">
        <v>8.6999999999999994E-2</v>
      </c>
      <c r="AB74" s="41">
        <v>0.18</v>
      </c>
      <c r="AC74" s="41">
        <v>0.152</v>
      </c>
      <c r="AD74" s="41">
        <v>0.28000000000000003</v>
      </c>
      <c r="AE74" s="41">
        <v>0.66700000000000004</v>
      </c>
      <c r="AF74" s="41">
        <v>21</v>
      </c>
      <c r="AG74" s="41">
        <v>12</v>
      </c>
      <c r="AH74" s="41">
        <v>4</v>
      </c>
    </row>
    <row r="75" spans="1:34" ht="14.65" thickBot="1" x14ac:dyDescent="0.5">
      <c r="A75" s="80"/>
      <c r="B75" s="50" t="s">
        <v>36</v>
      </c>
      <c r="C75" s="53">
        <v>10</v>
      </c>
      <c r="D75" s="89"/>
      <c r="E75" s="58">
        <v>1.06</v>
      </c>
      <c r="F75" s="41">
        <v>0.98399999999999999</v>
      </c>
      <c r="G75" s="41">
        <v>7.5999999999999998E-2</v>
      </c>
      <c r="H75" s="41">
        <v>52.4</v>
      </c>
      <c r="I75" s="41">
        <v>27.5</v>
      </c>
      <c r="J75" s="41">
        <v>20.100000000000001</v>
      </c>
      <c r="K75" s="41">
        <v>111.8</v>
      </c>
      <c r="L75" s="41">
        <v>33.299999999999997</v>
      </c>
      <c r="M75" s="41">
        <v>36.700000000000003</v>
      </c>
      <c r="N75" s="41">
        <v>52.7</v>
      </c>
      <c r="O75" s="41">
        <v>0.35499999999999998</v>
      </c>
      <c r="P75" s="41">
        <v>72.3</v>
      </c>
      <c r="Q75" s="41">
        <v>0.95</v>
      </c>
      <c r="R75" s="41">
        <v>-1</v>
      </c>
      <c r="S75" s="41">
        <v>58.3</v>
      </c>
      <c r="T75" s="41">
        <v>25</v>
      </c>
      <c r="U75" s="41">
        <v>0.72</v>
      </c>
      <c r="V75" s="41">
        <v>16.100000000000001</v>
      </c>
      <c r="W75" s="41">
        <v>31.4</v>
      </c>
      <c r="X75" s="41">
        <v>38.9</v>
      </c>
      <c r="Y75" s="41">
        <v>9.0999999999999998E-2</v>
      </c>
      <c r="Z75" s="41">
        <v>48.3</v>
      </c>
      <c r="AA75" s="41">
        <v>0.104</v>
      </c>
      <c r="AB75" s="41">
        <v>0.16900000000000001</v>
      </c>
      <c r="AC75" s="41">
        <v>0.16800000000000001</v>
      </c>
      <c r="AD75" s="41">
        <v>0.29399999999999998</v>
      </c>
      <c r="AE75" s="41">
        <v>0.54600000000000004</v>
      </c>
      <c r="AF75" s="41">
        <v>20</v>
      </c>
      <c r="AG75" s="41">
        <v>13</v>
      </c>
      <c r="AH75" s="41">
        <v>43</v>
      </c>
    </row>
    <row r="76" spans="1:34" ht="14.65" thickBot="1" x14ac:dyDescent="0.5">
      <c r="A76" s="80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</row>
    <row r="77" spans="1:34" x14ac:dyDescent="0.45">
      <c r="A77" s="80"/>
      <c r="B77" s="49" t="s">
        <v>22</v>
      </c>
      <c r="C77" s="52">
        <v>7</v>
      </c>
      <c r="D77" s="82" t="s">
        <v>23</v>
      </c>
      <c r="E77" s="51">
        <v>1.0920000000000001</v>
      </c>
      <c r="F77" s="2">
        <v>0.97299999999999998</v>
      </c>
      <c r="G77" s="2">
        <v>0.11899999999999999</v>
      </c>
      <c r="H77" s="2">
        <v>47.8</v>
      </c>
      <c r="I77" s="2">
        <v>37</v>
      </c>
      <c r="J77" s="2">
        <v>15.2</v>
      </c>
      <c r="K77" s="2">
        <v>109.2</v>
      </c>
      <c r="L77" s="2">
        <v>32.5</v>
      </c>
      <c r="M77" s="2">
        <v>46.3</v>
      </c>
      <c r="N77" s="2">
        <v>52.1</v>
      </c>
      <c r="O77" s="2">
        <v>0.26100000000000001</v>
      </c>
      <c r="P77" s="2">
        <v>70.400000000000006</v>
      </c>
      <c r="Q77" s="2">
        <v>0.997</v>
      </c>
      <c r="R77" s="2">
        <v>5.9</v>
      </c>
      <c r="S77" s="2">
        <v>59.9</v>
      </c>
      <c r="T77" s="2">
        <v>28.1</v>
      </c>
      <c r="U77" s="2">
        <v>0.71599999999999997</v>
      </c>
      <c r="V77" s="2">
        <v>13.2</v>
      </c>
      <c r="W77" s="2">
        <v>31.7</v>
      </c>
      <c r="X77" s="2">
        <v>39.4</v>
      </c>
      <c r="Y77" s="2">
        <v>6.5000000000000002E-2</v>
      </c>
      <c r="Z77" s="2">
        <v>49.9</v>
      </c>
      <c r="AA77" s="2">
        <v>0.127</v>
      </c>
      <c r="AB77" s="2">
        <v>0.20899999999999999</v>
      </c>
      <c r="AC77" s="2">
        <v>0.20899999999999999</v>
      </c>
      <c r="AD77" s="2">
        <v>0.30199999999999999</v>
      </c>
      <c r="AE77" s="2">
        <v>0.66700000000000004</v>
      </c>
      <c r="AF77" s="2">
        <v>23</v>
      </c>
      <c r="AG77" s="2">
        <v>10</v>
      </c>
      <c r="AH77" s="2">
        <v>15</v>
      </c>
    </row>
    <row r="78" spans="1:34" x14ac:dyDescent="0.45">
      <c r="A78" s="80"/>
      <c r="B78" s="49" t="s">
        <v>23</v>
      </c>
      <c r="C78" s="52">
        <v>10</v>
      </c>
      <c r="D78" s="89"/>
      <c r="E78" s="51">
        <v>1.0589999999999999</v>
      </c>
      <c r="F78" s="2">
        <v>0.93700000000000006</v>
      </c>
      <c r="G78" s="2">
        <v>0.122</v>
      </c>
      <c r="H78" s="2">
        <v>54.4</v>
      </c>
      <c r="I78" s="2">
        <v>25.5</v>
      </c>
      <c r="J78" s="2">
        <v>20.100000000000001</v>
      </c>
      <c r="K78" s="2">
        <v>108.1</v>
      </c>
      <c r="L78" s="2">
        <v>34.1</v>
      </c>
      <c r="M78" s="2">
        <v>32.200000000000003</v>
      </c>
      <c r="N78" s="2">
        <v>50.8</v>
      </c>
      <c r="O78" s="2">
        <v>0.378</v>
      </c>
      <c r="P78" s="2">
        <v>75.5</v>
      </c>
      <c r="Q78" s="2">
        <v>0.97799999999999998</v>
      </c>
      <c r="R78" s="2">
        <v>5.7</v>
      </c>
      <c r="S78" s="2">
        <v>56.1</v>
      </c>
      <c r="T78" s="2">
        <v>28.9</v>
      </c>
      <c r="U78" s="2">
        <v>0.77200000000000002</v>
      </c>
      <c r="V78" s="2">
        <v>15.1</v>
      </c>
      <c r="W78" s="2">
        <v>33.799999999999997</v>
      </c>
      <c r="X78" s="2">
        <v>38.299999999999997</v>
      </c>
      <c r="Y78" s="2">
        <v>8.5999999999999993E-2</v>
      </c>
      <c r="Z78" s="2">
        <v>49.2</v>
      </c>
      <c r="AA78" s="2">
        <v>0.113</v>
      </c>
      <c r="AB78" s="2">
        <v>0.19600000000000001</v>
      </c>
      <c r="AC78" s="2">
        <v>0.19700000000000001</v>
      </c>
      <c r="AD78" s="2">
        <v>0.35</v>
      </c>
      <c r="AE78" s="2">
        <v>0.625</v>
      </c>
      <c r="AF78" s="2">
        <v>26</v>
      </c>
      <c r="AG78" s="2">
        <v>7</v>
      </c>
      <c r="AH78" s="2">
        <v>87</v>
      </c>
    </row>
    <row r="79" spans="1:34" ht="14.65" thickBot="1" x14ac:dyDescent="0.5">
      <c r="A79" s="80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</row>
    <row r="80" spans="1:34" x14ac:dyDescent="0.45">
      <c r="A80" s="80"/>
      <c r="B80" s="51" t="s">
        <v>3</v>
      </c>
      <c r="C80" s="52">
        <v>7</v>
      </c>
      <c r="D80" s="82" t="s">
        <v>3</v>
      </c>
      <c r="E80" s="51">
        <v>1.103</v>
      </c>
      <c r="F80" s="2">
        <v>0.97</v>
      </c>
      <c r="G80" s="2">
        <v>0.13300000000000001</v>
      </c>
      <c r="H80" s="2">
        <v>52.1</v>
      </c>
      <c r="I80" s="2">
        <v>30</v>
      </c>
      <c r="J80" s="2">
        <v>17.8</v>
      </c>
      <c r="K80" s="2">
        <v>111.5</v>
      </c>
      <c r="L80" s="2">
        <v>35.200000000000003</v>
      </c>
      <c r="M80" s="2">
        <v>36</v>
      </c>
      <c r="N80" s="2">
        <v>53</v>
      </c>
      <c r="O80" s="2">
        <v>0.32900000000000001</v>
      </c>
      <c r="P80" s="2">
        <v>67.7</v>
      </c>
      <c r="Q80" s="2">
        <v>0.98499999999999999</v>
      </c>
      <c r="R80" s="2">
        <v>6.1</v>
      </c>
      <c r="S80" s="2">
        <v>56.7</v>
      </c>
      <c r="T80" s="2">
        <v>32.1</v>
      </c>
      <c r="U80" s="2">
        <v>0.71799999999999997</v>
      </c>
      <c r="V80" s="2">
        <v>15.6</v>
      </c>
      <c r="W80" s="2">
        <v>32.799999999999997</v>
      </c>
      <c r="X80" s="2">
        <v>45</v>
      </c>
      <c r="Y80" s="2">
        <v>6.0999999999999999E-2</v>
      </c>
      <c r="Z80" s="2">
        <v>50.5</v>
      </c>
      <c r="AA80" s="2">
        <v>0.12</v>
      </c>
      <c r="AB80" s="2">
        <v>0.191</v>
      </c>
      <c r="AC80" s="2">
        <v>0.224</v>
      </c>
      <c r="AD80" s="2">
        <v>0.34599999999999997</v>
      </c>
      <c r="AE80" s="2">
        <v>0.72699999999999998</v>
      </c>
      <c r="AF80" s="2">
        <v>22</v>
      </c>
      <c r="AG80" s="2">
        <v>10</v>
      </c>
      <c r="AH80" s="2">
        <v>50</v>
      </c>
    </row>
    <row r="81" spans="1:34" x14ac:dyDescent="0.45">
      <c r="A81" s="80"/>
      <c r="B81" s="49" t="s">
        <v>60</v>
      </c>
      <c r="C81" s="52">
        <v>10</v>
      </c>
      <c r="D81" s="89"/>
      <c r="E81" s="51">
        <v>1.1519999999999999</v>
      </c>
      <c r="F81" s="2">
        <v>1.018</v>
      </c>
      <c r="G81" s="2">
        <v>0.13400000000000001</v>
      </c>
      <c r="H81" s="2">
        <v>48.3</v>
      </c>
      <c r="I81" s="2">
        <v>32.700000000000003</v>
      </c>
      <c r="J81" s="2">
        <v>19</v>
      </c>
      <c r="K81" s="2">
        <v>116.1</v>
      </c>
      <c r="L81" s="2">
        <v>35.799999999999997</v>
      </c>
      <c r="M81" s="2">
        <v>42.3</v>
      </c>
      <c r="N81" s="2">
        <v>56</v>
      </c>
      <c r="O81" s="2">
        <v>0.376</v>
      </c>
      <c r="P81" s="2">
        <v>69.2</v>
      </c>
      <c r="Q81" s="2">
        <v>0.98399999999999999</v>
      </c>
      <c r="R81" s="2">
        <v>4.3</v>
      </c>
      <c r="S81" s="2">
        <v>63.8</v>
      </c>
      <c r="T81" s="2">
        <v>32.1</v>
      </c>
      <c r="U81" s="2">
        <v>0.72699999999999998</v>
      </c>
      <c r="V81" s="2">
        <v>15.5</v>
      </c>
      <c r="W81" s="2">
        <v>34</v>
      </c>
      <c r="X81" s="2">
        <v>44.4</v>
      </c>
      <c r="Y81" s="2">
        <v>5.1999999999999998E-2</v>
      </c>
      <c r="Z81" s="2">
        <v>51.8</v>
      </c>
      <c r="AA81" s="2">
        <v>0.121</v>
      </c>
      <c r="AB81" s="2">
        <v>0.20699999999999999</v>
      </c>
      <c r="AC81" s="2">
        <v>0.19500000000000001</v>
      </c>
      <c r="AD81" s="2">
        <v>0.36199999999999999</v>
      </c>
      <c r="AE81" s="2">
        <v>0.72699999999999998</v>
      </c>
      <c r="AF81" s="2">
        <v>26</v>
      </c>
      <c r="AG81" s="2">
        <v>7</v>
      </c>
      <c r="AH81" s="2">
        <v>91</v>
      </c>
    </row>
    <row r="82" spans="1:34" ht="14.65" thickBot="1" x14ac:dyDescent="0.5">
      <c r="A82" s="80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</row>
    <row r="83" spans="1:34" x14ac:dyDescent="0.45">
      <c r="A83" s="80"/>
      <c r="B83" s="49" t="s">
        <v>47</v>
      </c>
      <c r="C83" s="52">
        <v>7</v>
      </c>
      <c r="D83" s="82" t="s">
        <v>47</v>
      </c>
      <c r="E83" s="51">
        <v>1.1180000000000001</v>
      </c>
      <c r="F83" s="2">
        <v>0.93500000000000005</v>
      </c>
      <c r="G83" s="2">
        <v>0.183</v>
      </c>
      <c r="H83" s="2">
        <v>56</v>
      </c>
      <c r="I83" s="2">
        <v>26.3</v>
      </c>
      <c r="J83" s="2">
        <v>17.7</v>
      </c>
      <c r="K83" s="2">
        <v>106.4</v>
      </c>
      <c r="L83" s="2">
        <v>32.700000000000003</v>
      </c>
      <c r="M83" s="2">
        <v>33.299999999999997</v>
      </c>
      <c r="N83" s="2">
        <v>50.9</v>
      </c>
      <c r="O83" s="2">
        <v>0.314</v>
      </c>
      <c r="P83" s="2">
        <v>65.599999999999994</v>
      </c>
      <c r="Q83" s="2">
        <v>1.038</v>
      </c>
      <c r="R83" s="2">
        <v>6.2</v>
      </c>
      <c r="S83" s="2">
        <v>55.3</v>
      </c>
      <c r="T83" s="2">
        <v>39.200000000000003</v>
      </c>
      <c r="U83" s="2">
        <v>0.77900000000000003</v>
      </c>
      <c r="V83" s="2">
        <v>14.8</v>
      </c>
      <c r="W83" s="2">
        <v>31.4</v>
      </c>
      <c r="X83" s="2">
        <v>31.8</v>
      </c>
      <c r="Y83" s="2">
        <v>7.1999999999999995E-2</v>
      </c>
      <c r="Z83" s="2">
        <v>46.2</v>
      </c>
      <c r="AA83" s="2">
        <v>9.2999999999999999E-2</v>
      </c>
      <c r="AB83" s="2">
        <v>0.189</v>
      </c>
      <c r="AC83" s="2">
        <v>0.159</v>
      </c>
      <c r="AD83" s="2">
        <v>0.25</v>
      </c>
      <c r="AE83" s="2">
        <v>0.625</v>
      </c>
      <c r="AF83" s="2">
        <v>28</v>
      </c>
      <c r="AG83" s="2">
        <v>5</v>
      </c>
      <c r="AH83" s="2">
        <v>92</v>
      </c>
    </row>
    <row r="84" spans="1:34" x14ac:dyDescent="0.45">
      <c r="A84" s="80"/>
      <c r="B84" s="51" t="s">
        <v>48</v>
      </c>
      <c r="C84" s="52">
        <v>10</v>
      </c>
      <c r="D84" s="89"/>
      <c r="E84" s="51">
        <v>1.1040000000000001</v>
      </c>
      <c r="F84" s="2">
        <v>1.0369999999999999</v>
      </c>
      <c r="G84" s="2">
        <v>6.7000000000000004E-2</v>
      </c>
      <c r="H84" s="2">
        <v>49.8</v>
      </c>
      <c r="I84" s="2">
        <v>30.8</v>
      </c>
      <c r="J84" s="2">
        <v>19.399999999999999</v>
      </c>
      <c r="K84" s="2">
        <v>110.5</v>
      </c>
      <c r="L84" s="2">
        <v>32.5</v>
      </c>
      <c r="M84" s="2">
        <v>40.200000000000003</v>
      </c>
      <c r="N84" s="2">
        <v>51.7</v>
      </c>
      <c r="O84" s="2">
        <v>0.34</v>
      </c>
      <c r="P84" s="2">
        <v>72.099999999999994</v>
      </c>
      <c r="Q84" s="2">
        <v>0.99299999999999999</v>
      </c>
      <c r="R84" s="2">
        <v>5.2</v>
      </c>
      <c r="S84" s="2">
        <v>60.5</v>
      </c>
      <c r="T84" s="2">
        <v>29.7</v>
      </c>
      <c r="U84" s="2">
        <v>0.72299999999999998</v>
      </c>
      <c r="V84" s="2">
        <v>14.4</v>
      </c>
      <c r="W84" s="2">
        <v>36.6</v>
      </c>
      <c r="X84" s="2">
        <v>37.700000000000003</v>
      </c>
      <c r="Y84" s="2">
        <v>7.0000000000000007E-2</v>
      </c>
      <c r="Z84" s="2">
        <v>52.9</v>
      </c>
      <c r="AA84" s="2">
        <v>0.125</v>
      </c>
      <c r="AB84" s="2">
        <v>0.16800000000000001</v>
      </c>
      <c r="AC84" s="2">
        <v>0.19400000000000001</v>
      </c>
      <c r="AD84" s="2">
        <v>0.39</v>
      </c>
      <c r="AE84" s="2">
        <v>0.875</v>
      </c>
      <c r="AF84" s="2">
        <v>20</v>
      </c>
      <c r="AG84" s="2">
        <v>12</v>
      </c>
      <c r="AH84" s="2">
        <v>58</v>
      </c>
    </row>
    <row r="85" spans="1:34" ht="14.65" thickBot="1" x14ac:dyDescent="0.5">
      <c r="A85" s="80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</row>
    <row r="86" spans="1:34" x14ac:dyDescent="0.45">
      <c r="A86" s="80"/>
      <c r="B86" s="49" t="s">
        <v>15</v>
      </c>
      <c r="C86" s="52">
        <v>8</v>
      </c>
      <c r="D86" s="82" t="s">
        <v>16</v>
      </c>
      <c r="E86" s="51">
        <v>1.1120000000000001</v>
      </c>
      <c r="F86" s="2">
        <v>0.97499999999999998</v>
      </c>
      <c r="G86" s="2">
        <v>0.13700000000000001</v>
      </c>
      <c r="H86" s="2">
        <v>45.1</v>
      </c>
      <c r="I86" s="2">
        <v>35.799999999999997</v>
      </c>
      <c r="J86" s="2">
        <v>19.100000000000001</v>
      </c>
      <c r="K86" s="2">
        <v>113.4</v>
      </c>
      <c r="L86" s="2">
        <v>33</v>
      </c>
      <c r="M86" s="2">
        <v>48.1</v>
      </c>
      <c r="N86" s="2">
        <v>53.4</v>
      </c>
      <c r="O86" s="2">
        <v>0.34499999999999997</v>
      </c>
      <c r="P86" s="2">
        <v>70.7</v>
      </c>
      <c r="Q86" s="2">
        <v>0.97699999999999998</v>
      </c>
      <c r="R86" s="2">
        <v>2.9</v>
      </c>
      <c r="S86" s="2">
        <v>63</v>
      </c>
      <c r="T86" s="2">
        <v>31</v>
      </c>
      <c r="U86" s="2">
        <v>0.749</v>
      </c>
      <c r="V86" s="2">
        <v>16.2</v>
      </c>
      <c r="W86" s="2">
        <v>34.1</v>
      </c>
      <c r="X86" s="2">
        <v>39.799999999999997</v>
      </c>
      <c r="Y86" s="2">
        <v>4.9000000000000002E-2</v>
      </c>
      <c r="Z86" s="2">
        <v>49.2</v>
      </c>
      <c r="AA86" s="2">
        <v>0.09</v>
      </c>
      <c r="AB86" s="2">
        <v>0.16700000000000001</v>
      </c>
      <c r="AC86" s="2">
        <v>0.18099999999999999</v>
      </c>
      <c r="AD86" s="2">
        <v>0.26800000000000002</v>
      </c>
      <c r="AE86" s="2">
        <v>0.85699999999999998</v>
      </c>
      <c r="AF86" s="2">
        <v>27</v>
      </c>
      <c r="AG86" s="2">
        <v>7</v>
      </c>
      <c r="AH86" s="2">
        <v>36</v>
      </c>
    </row>
    <row r="87" spans="1:34" ht="14.65" thickBot="1" x14ac:dyDescent="0.5">
      <c r="A87" s="80"/>
      <c r="B87" s="50" t="s">
        <v>16</v>
      </c>
      <c r="C87" s="53">
        <v>9</v>
      </c>
      <c r="D87" s="89"/>
      <c r="E87" s="58">
        <v>1.0820000000000001</v>
      </c>
      <c r="F87" s="41">
        <v>1</v>
      </c>
      <c r="G87" s="41">
        <v>8.2000000000000003E-2</v>
      </c>
      <c r="H87" s="41">
        <v>46.4</v>
      </c>
      <c r="I87" s="41">
        <v>38</v>
      </c>
      <c r="J87" s="41">
        <v>15.6</v>
      </c>
      <c r="K87" s="41">
        <v>117.2</v>
      </c>
      <c r="L87" s="41">
        <v>33.9</v>
      </c>
      <c r="M87" s="41">
        <v>49</v>
      </c>
      <c r="N87" s="41">
        <v>55.8</v>
      </c>
      <c r="O87" s="41">
        <v>0.28499999999999998</v>
      </c>
      <c r="P87" s="41">
        <v>69.5</v>
      </c>
      <c r="Q87" s="41">
        <v>0.92900000000000005</v>
      </c>
      <c r="R87" s="41">
        <v>-6.2</v>
      </c>
      <c r="S87" s="41">
        <v>67.8</v>
      </c>
      <c r="T87" s="41">
        <v>25.4</v>
      </c>
      <c r="U87" s="41">
        <v>0.746</v>
      </c>
      <c r="V87" s="41">
        <v>17.7</v>
      </c>
      <c r="W87" s="41">
        <v>32.6</v>
      </c>
      <c r="X87" s="41">
        <v>35.299999999999997</v>
      </c>
      <c r="Y87" s="41">
        <v>6.8000000000000005E-2</v>
      </c>
      <c r="Z87" s="41">
        <v>47</v>
      </c>
      <c r="AA87" s="41">
        <v>5.1999999999999998E-2</v>
      </c>
      <c r="AB87" s="41">
        <v>0.16700000000000001</v>
      </c>
      <c r="AC87" s="41">
        <v>0.114</v>
      </c>
      <c r="AD87" s="41">
        <v>0.16900000000000001</v>
      </c>
      <c r="AE87" s="41">
        <v>0.75</v>
      </c>
      <c r="AF87" s="41">
        <v>24</v>
      </c>
      <c r="AG87" s="41">
        <v>10</v>
      </c>
      <c r="AH87" s="41">
        <v>22</v>
      </c>
    </row>
    <row r="88" spans="1:34" ht="14.65" thickBot="1" x14ac:dyDescent="0.5">
      <c r="A88" s="80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</row>
    <row r="89" spans="1:34" ht="14.65" thickBot="1" x14ac:dyDescent="0.5">
      <c r="A89" s="80"/>
      <c r="B89" s="50" t="s">
        <v>52</v>
      </c>
      <c r="C89" s="53">
        <v>8</v>
      </c>
      <c r="D89" s="82" t="s">
        <v>52</v>
      </c>
      <c r="E89" s="58">
        <v>1.181</v>
      </c>
      <c r="F89" s="41">
        <v>0.95</v>
      </c>
      <c r="G89" s="41">
        <v>0.23100000000000001</v>
      </c>
      <c r="H89" s="41">
        <v>55.9</v>
      </c>
      <c r="I89" s="41">
        <v>26.1</v>
      </c>
      <c r="J89" s="41">
        <v>18</v>
      </c>
      <c r="K89" s="41">
        <v>119.3</v>
      </c>
      <c r="L89" s="41">
        <v>34.4</v>
      </c>
      <c r="M89" s="41">
        <v>33.5</v>
      </c>
      <c r="N89" s="41">
        <v>55.7</v>
      </c>
      <c r="O89" s="41">
        <v>0.309</v>
      </c>
      <c r="P89" s="41">
        <v>73.3</v>
      </c>
      <c r="Q89" s="41">
        <v>0.995</v>
      </c>
      <c r="R89" s="41">
        <v>4.5999999999999996</v>
      </c>
      <c r="S89" s="41">
        <v>62.7</v>
      </c>
      <c r="T89" s="41">
        <v>30.4</v>
      </c>
      <c r="U89" s="41">
        <v>0.76400000000000001</v>
      </c>
      <c r="V89" s="41">
        <v>12.9</v>
      </c>
      <c r="W89" s="41">
        <v>30.3</v>
      </c>
      <c r="X89" s="41">
        <v>40.200000000000003</v>
      </c>
      <c r="Y89" s="41">
        <v>4.9000000000000002E-2</v>
      </c>
      <c r="Z89" s="41">
        <v>47.6</v>
      </c>
      <c r="AA89" s="41">
        <v>0.10199999999999999</v>
      </c>
      <c r="AB89" s="41">
        <v>0.16800000000000001</v>
      </c>
      <c r="AC89" s="41">
        <v>0.17499999999999999</v>
      </c>
      <c r="AD89" s="41">
        <v>0.28599999999999998</v>
      </c>
      <c r="AE89" s="41">
        <v>0</v>
      </c>
      <c r="AF89" s="41">
        <v>25</v>
      </c>
      <c r="AG89" s="41">
        <v>8</v>
      </c>
      <c r="AH89" s="41">
        <v>82</v>
      </c>
    </row>
    <row r="90" spans="1:34" x14ac:dyDescent="0.45">
      <c r="A90" s="80"/>
      <c r="B90" s="49" t="s">
        <v>53</v>
      </c>
      <c r="C90" s="52">
        <v>9</v>
      </c>
      <c r="D90" s="89"/>
      <c r="E90" s="51">
        <v>1.073</v>
      </c>
      <c r="F90" s="2">
        <v>0.98399999999999999</v>
      </c>
      <c r="G90" s="2">
        <v>8.8999999999999996E-2</v>
      </c>
      <c r="H90" s="2">
        <v>50.8</v>
      </c>
      <c r="I90" s="2">
        <v>27.5</v>
      </c>
      <c r="J90" s="2">
        <v>21.6</v>
      </c>
      <c r="K90" s="2">
        <v>111.7</v>
      </c>
      <c r="L90" s="2">
        <v>33.5</v>
      </c>
      <c r="M90" s="2">
        <v>36.799999999999997</v>
      </c>
      <c r="N90" s="2">
        <v>52.5</v>
      </c>
      <c r="O90" s="2">
        <v>0.39800000000000002</v>
      </c>
      <c r="P90" s="2">
        <v>70.400000000000006</v>
      </c>
      <c r="Q90" s="2">
        <v>0.95599999999999996</v>
      </c>
      <c r="R90" s="2">
        <v>-0.5</v>
      </c>
      <c r="S90" s="2">
        <v>59.1</v>
      </c>
      <c r="T90" s="2">
        <v>34.1</v>
      </c>
      <c r="U90" s="2">
        <v>0.70299999999999996</v>
      </c>
      <c r="V90" s="2">
        <v>18.399999999999999</v>
      </c>
      <c r="W90" s="2">
        <v>31.6</v>
      </c>
      <c r="X90" s="2">
        <v>40.4</v>
      </c>
      <c r="Y90" s="2">
        <v>8.5999999999999993E-2</v>
      </c>
      <c r="Z90" s="2">
        <v>47.2</v>
      </c>
      <c r="AA90" s="2">
        <v>0.11</v>
      </c>
      <c r="AB90" s="2">
        <v>0.17299999999999999</v>
      </c>
      <c r="AC90" s="2">
        <v>0.17499999999999999</v>
      </c>
      <c r="AD90" s="2">
        <v>0.30399999999999999</v>
      </c>
      <c r="AE90" s="2">
        <v>0.57099999999999995</v>
      </c>
      <c r="AF90" s="2">
        <v>20</v>
      </c>
      <c r="AG90" s="2">
        <v>12</v>
      </c>
      <c r="AH90" s="2">
        <v>57</v>
      </c>
    </row>
    <row r="91" spans="1:34" ht="14.65" thickBot="1" x14ac:dyDescent="0.5">
      <c r="A91" s="80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</row>
    <row r="92" spans="1:34" x14ac:dyDescent="0.45">
      <c r="A92" s="80"/>
      <c r="B92" s="49" t="s">
        <v>4</v>
      </c>
      <c r="C92" s="52">
        <v>8</v>
      </c>
      <c r="D92" s="82" t="s">
        <v>4</v>
      </c>
      <c r="E92" s="51">
        <v>1.1499999999999999</v>
      </c>
      <c r="F92" s="2">
        <v>1.0109999999999999</v>
      </c>
      <c r="G92" s="2">
        <v>0.13900000000000001</v>
      </c>
      <c r="H92" s="2">
        <v>48.6</v>
      </c>
      <c r="I92" s="2">
        <v>33.299999999999997</v>
      </c>
      <c r="J92" s="2">
        <v>18.100000000000001</v>
      </c>
      <c r="K92" s="2">
        <v>117.1</v>
      </c>
      <c r="L92" s="2">
        <v>35.4</v>
      </c>
      <c r="M92" s="2">
        <v>42.6</v>
      </c>
      <c r="N92" s="2">
        <v>55.5</v>
      </c>
      <c r="O92" s="2">
        <v>0.30599999999999999</v>
      </c>
      <c r="P92" s="2">
        <v>67.3</v>
      </c>
      <c r="Q92" s="2">
        <v>0.98199999999999998</v>
      </c>
      <c r="R92" s="2">
        <v>1.8</v>
      </c>
      <c r="S92" s="2">
        <v>62.3</v>
      </c>
      <c r="T92" s="2">
        <v>34.6</v>
      </c>
      <c r="U92" s="2">
        <v>0.76200000000000001</v>
      </c>
      <c r="V92" s="2">
        <v>16.7</v>
      </c>
      <c r="W92" s="2">
        <v>35</v>
      </c>
      <c r="X92" s="2">
        <v>34.200000000000003</v>
      </c>
      <c r="Y92" s="2">
        <v>0.115</v>
      </c>
      <c r="Z92" s="2">
        <v>48.3</v>
      </c>
      <c r="AA92" s="2">
        <v>8.1000000000000003E-2</v>
      </c>
      <c r="AB92" s="2">
        <v>0.14899999999999999</v>
      </c>
      <c r="AC92" s="2">
        <v>0.153</v>
      </c>
      <c r="AD92" s="2">
        <v>0.4</v>
      </c>
      <c r="AE92" s="2">
        <v>0.5</v>
      </c>
      <c r="AF92" s="2">
        <v>23</v>
      </c>
      <c r="AG92" s="2">
        <v>10</v>
      </c>
      <c r="AH92" s="2">
        <v>42</v>
      </c>
    </row>
    <row r="93" spans="1:34" x14ac:dyDescent="0.45">
      <c r="A93" s="80"/>
      <c r="B93" s="49" t="s">
        <v>27</v>
      </c>
      <c r="C93" s="52">
        <v>9</v>
      </c>
      <c r="D93" s="89"/>
      <c r="E93" s="51">
        <v>1.105</v>
      </c>
      <c r="F93" s="2">
        <v>1.0489999999999999</v>
      </c>
      <c r="G93" s="2">
        <v>5.6000000000000001E-2</v>
      </c>
      <c r="H93" s="2">
        <v>44.9</v>
      </c>
      <c r="I93" s="2">
        <v>32.5</v>
      </c>
      <c r="J93" s="2">
        <v>22.6</v>
      </c>
      <c r="K93" s="2">
        <v>118.1</v>
      </c>
      <c r="L93" s="2">
        <v>37</v>
      </c>
      <c r="M93" s="2">
        <v>41.9</v>
      </c>
      <c r="N93" s="2">
        <v>54.9</v>
      </c>
      <c r="O93" s="2">
        <v>0.39600000000000002</v>
      </c>
      <c r="P93" s="2">
        <v>71.400000000000006</v>
      </c>
      <c r="Q93" s="2">
        <v>0.93200000000000005</v>
      </c>
      <c r="R93" s="2">
        <v>-1.7</v>
      </c>
      <c r="S93" s="2">
        <v>60.4</v>
      </c>
      <c r="T93" s="2">
        <v>25.1</v>
      </c>
      <c r="U93" s="2">
        <v>0.69699999999999995</v>
      </c>
      <c r="V93" s="2">
        <v>16.899999999999999</v>
      </c>
      <c r="W93" s="2">
        <v>30.3</v>
      </c>
      <c r="X93" s="2">
        <v>42</v>
      </c>
      <c r="Y93" s="2">
        <v>3.9E-2</v>
      </c>
      <c r="Z93" s="2">
        <v>51.1</v>
      </c>
      <c r="AA93" s="2">
        <v>0.109</v>
      </c>
      <c r="AB93" s="2">
        <v>0.17199999999999999</v>
      </c>
      <c r="AC93" s="2">
        <v>0.17799999999999999</v>
      </c>
      <c r="AD93" s="2">
        <v>0.35799999999999998</v>
      </c>
      <c r="AE93" s="2">
        <v>0.5</v>
      </c>
      <c r="AF93" s="2">
        <v>20</v>
      </c>
      <c r="AG93" s="2">
        <v>13</v>
      </c>
      <c r="AH93" s="2">
        <v>48</v>
      </c>
    </row>
    <row r="94" spans="1:34" ht="14.65" thickBot="1" x14ac:dyDescent="0.5">
      <c r="A94" s="80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</row>
    <row r="95" spans="1:34" x14ac:dyDescent="0.45">
      <c r="A95" s="80"/>
      <c r="B95" s="51" t="s">
        <v>70</v>
      </c>
      <c r="C95" s="52">
        <v>8</v>
      </c>
      <c r="D95" s="82" t="s">
        <v>40</v>
      </c>
      <c r="E95" s="51">
        <v>1.1060000000000001</v>
      </c>
      <c r="F95" s="2">
        <v>1.028</v>
      </c>
      <c r="G95" s="2">
        <v>7.8E-2</v>
      </c>
      <c r="H95" s="2">
        <v>50.5</v>
      </c>
      <c r="I95" s="2">
        <v>32</v>
      </c>
      <c r="J95" s="2">
        <v>17.5</v>
      </c>
      <c r="K95" s="2">
        <v>109.6</v>
      </c>
      <c r="L95" s="2">
        <v>31.4</v>
      </c>
      <c r="M95" s="2">
        <v>42.3</v>
      </c>
      <c r="N95" s="2">
        <v>51.7</v>
      </c>
      <c r="O95" s="2">
        <v>0.316</v>
      </c>
      <c r="P95" s="2">
        <v>72.099999999999994</v>
      </c>
      <c r="Q95" s="2">
        <v>1.008</v>
      </c>
      <c r="R95" s="2">
        <v>4.9000000000000004</v>
      </c>
      <c r="S95" s="2">
        <v>60.8</v>
      </c>
      <c r="T95" s="2">
        <v>32.299999999999997</v>
      </c>
      <c r="U95" s="2">
        <v>0.72599999999999998</v>
      </c>
      <c r="V95" s="2">
        <v>14.7</v>
      </c>
      <c r="W95" s="2">
        <v>35.799999999999997</v>
      </c>
      <c r="X95" s="2">
        <v>44</v>
      </c>
      <c r="Y95" s="2">
        <v>7.6999999999999999E-2</v>
      </c>
      <c r="Z95" s="2">
        <v>51.9</v>
      </c>
      <c r="AA95" s="2">
        <v>0.127</v>
      </c>
      <c r="AB95" s="2">
        <v>0.187</v>
      </c>
      <c r="AC95" s="2">
        <v>0.185</v>
      </c>
      <c r="AD95" s="2">
        <v>0.35399999999999998</v>
      </c>
      <c r="AE95" s="2">
        <v>0.6</v>
      </c>
      <c r="AF95" s="2">
        <v>21</v>
      </c>
      <c r="AG95" s="2">
        <v>12</v>
      </c>
      <c r="AH95" s="2">
        <v>16</v>
      </c>
    </row>
    <row r="96" spans="1:34" ht="14.65" thickBot="1" x14ac:dyDescent="0.5">
      <c r="A96" s="81"/>
      <c r="B96" s="51" t="s">
        <v>40</v>
      </c>
      <c r="C96" s="52">
        <v>9</v>
      </c>
      <c r="D96" s="89"/>
      <c r="E96" s="51">
        <v>1.107</v>
      </c>
      <c r="F96" s="2">
        <v>1.0209999999999999</v>
      </c>
      <c r="G96" s="2">
        <v>8.5999999999999993E-2</v>
      </c>
      <c r="H96" s="2">
        <v>48.8</v>
      </c>
      <c r="I96" s="2">
        <v>33</v>
      </c>
      <c r="J96" s="2">
        <v>18.2</v>
      </c>
      <c r="K96" s="2">
        <v>109.3</v>
      </c>
      <c r="L96" s="2">
        <v>34.700000000000003</v>
      </c>
      <c r="M96" s="2">
        <v>40.200000000000003</v>
      </c>
      <c r="N96" s="2">
        <v>51.5</v>
      </c>
      <c r="O96" s="2">
        <v>0.31</v>
      </c>
      <c r="P96" s="2">
        <v>68.2</v>
      </c>
      <c r="Q96" s="2">
        <v>1.0049999999999999</v>
      </c>
      <c r="R96" s="2">
        <v>3.9</v>
      </c>
      <c r="S96" s="2">
        <v>57</v>
      </c>
      <c r="T96" s="2">
        <v>33.5</v>
      </c>
      <c r="U96" s="2">
        <v>0.70599999999999996</v>
      </c>
      <c r="V96" s="2">
        <v>15.8</v>
      </c>
      <c r="W96" s="2">
        <v>35.9</v>
      </c>
      <c r="X96" s="2">
        <v>41.4</v>
      </c>
      <c r="Y96" s="2">
        <v>4.8000000000000001E-2</v>
      </c>
      <c r="Z96" s="2">
        <v>51.2</v>
      </c>
      <c r="AA96" s="2">
        <v>0.108</v>
      </c>
      <c r="AB96" s="2">
        <v>0.215</v>
      </c>
      <c r="AC96" s="2">
        <v>0.182</v>
      </c>
      <c r="AD96" s="2">
        <v>0.33500000000000002</v>
      </c>
      <c r="AE96" s="2">
        <v>0.36399999999999999</v>
      </c>
      <c r="AF96" s="2">
        <v>19</v>
      </c>
      <c r="AG96" s="2">
        <v>14</v>
      </c>
      <c r="AH96" s="2">
        <v>14</v>
      </c>
    </row>
    <row r="97" spans="1:34" x14ac:dyDescent="0.45">
      <c r="A97" s="76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</row>
    <row r="98" spans="1:34" ht="14.65" thickBot="1" x14ac:dyDescent="0.5">
      <c r="A98" s="76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</row>
    <row r="99" spans="1:34" ht="15" customHeight="1" x14ac:dyDescent="0.45">
      <c r="A99" s="70" t="s">
        <v>93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2"/>
    </row>
    <row r="100" spans="1:34" ht="15.75" customHeight="1" thickBot="1" x14ac:dyDescent="0.5">
      <c r="A100" s="73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5"/>
    </row>
    <row r="101" spans="1:34" x14ac:dyDescent="0.45">
      <c r="A101" s="80" t="s">
        <v>93</v>
      </c>
      <c r="B101" s="51" t="s">
        <v>14</v>
      </c>
      <c r="C101" s="52">
        <v>1</v>
      </c>
      <c r="D101" s="84" t="s">
        <v>14</v>
      </c>
      <c r="E101" s="51">
        <v>1.1819999999999999</v>
      </c>
      <c r="F101" s="2">
        <v>0.98099999999999998</v>
      </c>
      <c r="G101" s="2">
        <v>0.20100000000000001</v>
      </c>
      <c r="H101" s="2">
        <v>48.8</v>
      </c>
      <c r="I101" s="2">
        <v>32.799999999999997</v>
      </c>
      <c r="J101" s="2">
        <v>18.3</v>
      </c>
      <c r="K101" s="2">
        <v>117.1</v>
      </c>
      <c r="L101" s="2">
        <v>36.799999999999997</v>
      </c>
      <c r="M101" s="2">
        <v>40.6</v>
      </c>
      <c r="N101" s="2">
        <v>55.7</v>
      </c>
      <c r="O101" s="2">
        <v>0.33500000000000002</v>
      </c>
      <c r="P101" s="2">
        <v>70.900000000000006</v>
      </c>
      <c r="Q101" s="2">
        <v>1.014</v>
      </c>
      <c r="R101" s="2">
        <v>4.3</v>
      </c>
      <c r="S101" s="2">
        <v>60.5</v>
      </c>
      <c r="T101" s="2">
        <v>33.299999999999997</v>
      </c>
      <c r="U101" s="2">
        <v>0.73199999999999998</v>
      </c>
      <c r="V101" s="2">
        <v>13</v>
      </c>
      <c r="W101" s="2">
        <v>29.8</v>
      </c>
      <c r="X101" s="2">
        <v>35.299999999999997</v>
      </c>
      <c r="Y101" s="2">
        <v>0.10199999999999999</v>
      </c>
      <c r="Z101" s="2">
        <v>46</v>
      </c>
      <c r="AA101" s="2">
        <v>9.5000000000000001E-2</v>
      </c>
      <c r="AB101" s="2">
        <v>0.13500000000000001</v>
      </c>
      <c r="AC101" s="2">
        <v>0.16800000000000001</v>
      </c>
      <c r="AD101" s="2">
        <v>0.39200000000000002</v>
      </c>
      <c r="AE101" s="2">
        <v>0.77800000000000002</v>
      </c>
      <c r="AF101" s="2">
        <v>28</v>
      </c>
      <c r="AG101" s="2">
        <v>5</v>
      </c>
      <c r="AH101" s="2">
        <v>3</v>
      </c>
    </row>
    <row r="102" spans="1:34" ht="14.65" thickBot="1" x14ac:dyDescent="0.5">
      <c r="A102" s="80"/>
      <c r="B102" s="50" t="s">
        <v>16</v>
      </c>
      <c r="C102" s="53">
        <v>9</v>
      </c>
      <c r="D102" s="83"/>
      <c r="E102" s="58">
        <v>1.0820000000000001</v>
      </c>
      <c r="F102" s="41">
        <v>1</v>
      </c>
      <c r="G102" s="41">
        <v>8.2000000000000003E-2</v>
      </c>
      <c r="H102" s="41">
        <v>46.4</v>
      </c>
      <c r="I102" s="41">
        <v>38</v>
      </c>
      <c r="J102" s="41">
        <v>15.6</v>
      </c>
      <c r="K102" s="41">
        <v>117.2</v>
      </c>
      <c r="L102" s="41">
        <v>33.9</v>
      </c>
      <c r="M102" s="41">
        <v>49</v>
      </c>
      <c r="N102" s="41">
        <v>55.8</v>
      </c>
      <c r="O102" s="41">
        <v>0.28499999999999998</v>
      </c>
      <c r="P102" s="41">
        <v>69.5</v>
      </c>
      <c r="Q102" s="41">
        <v>0.92900000000000005</v>
      </c>
      <c r="R102" s="41">
        <v>-6.2</v>
      </c>
      <c r="S102" s="41">
        <v>67.8</v>
      </c>
      <c r="T102" s="41">
        <v>25.4</v>
      </c>
      <c r="U102" s="41">
        <v>0.746</v>
      </c>
      <c r="V102" s="41">
        <v>17.7</v>
      </c>
      <c r="W102" s="41">
        <v>32.6</v>
      </c>
      <c r="X102" s="41">
        <v>35.299999999999997</v>
      </c>
      <c r="Y102" s="41">
        <v>6.8000000000000005E-2</v>
      </c>
      <c r="Z102" s="41">
        <v>47</v>
      </c>
      <c r="AA102" s="41">
        <v>5.1999999999999998E-2</v>
      </c>
      <c r="AB102" s="41">
        <v>0.16700000000000001</v>
      </c>
      <c r="AC102" s="41">
        <v>0.114</v>
      </c>
      <c r="AD102" s="41">
        <v>0.16900000000000001</v>
      </c>
      <c r="AE102" s="41">
        <v>0.75</v>
      </c>
      <c r="AF102" s="41">
        <v>24</v>
      </c>
      <c r="AG102" s="41">
        <v>10</v>
      </c>
      <c r="AH102" s="41">
        <v>22</v>
      </c>
    </row>
    <row r="103" spans="1:34" x14ac:dyDescent="0.45">
      <c r="A103" s="80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</row>
    <row r="104" spans="1:34" x14ac:dyDescent="0.45">
      <c r="A104" s="80"/>
      <c r="B104" s="49" t="s">
        <v>26</v>
      </c>
      <c r="C104" s="52">
        <v>1</v>
      </c>
      <c r="D104" s="84" t="s">
        <v>26</v>
      </c>
      <c r="E104" s="51">
        <v>1.1779999999999999</v>
      </c>
      <c r="F104" s="2">
        <v>0.95499999999999996</v>
      </c>
      <c r="G104" s="2">
        <v>0.27100000000000002</v>
      </c>
      <c r="H104" s="2">
        <v>47</v>
      </c>
      <c r="I104" s="2">
        <v>34.799999999999997</v>
      </c>
      <c r="J104" s="2">
        <v>18.100000000000001</v>
      </c>
      <c r="K104" s="2">
        <v>116</v>
      </c>
      <c r="L104" s="2">
        <v>35.5</v>
      </c>
      <c r="M104" s="2">
        <v>43.6</v>
      </c>
      <c r="N104" s="2">
        <v>55</v>
      </c>
      <c r="O104" s="2">
        <v>0.32600000000000001</v>
      </c>
      <c r="P104" s="2">
        <v>72.5</v>
      </c>
      <c r="Q104" s="2">
        <v>1.022</v>
      </c>
      <c r="R104" s="2">
        <v>3.7</v>
      </c>
      <c r="S104" s="2">
        <v>61.6</v>
      </c>
      <c r="T104" s="2">
        <v>36.9</v>
      </c>
      <c r="U104" s="2">
        <v>0.73099999999999998</v>
      </c>
      <c r="V104" s="2">
        <v>14.7</v>
      </c>
      <c r="W104" s="2">
        <v>29.4</v>
      </c>
      <c r="X104" s="2">
        <v>37.200000000000003</v>
      </c>
      <c r="Y104" s="2">
        <v>7.2999999999999995E-2</v>
      </c>
      <c r="Z104" s="2">
        <v>45.3</v>
      </c>
      <c r="AA104" s="2">
        <v>0.104</v>
      </c>
      <c r="AB104" s="2">
        <v>0.155</v>
      </c>
      <c r="AC104" s="2">
        <v>0.16400000000000001</v>
      </c>
      <c r="AD104" s="2">
        <v>0.33</v>
      </c>
      <c r="AE104" s="2">
        <v>0.5</v>
      </c>
      <c r="AF104" s="2">
        <v>30</v>
      </c>
      <c r="AG104" s="2">
        <v>4</v>
      </c>
      <c r="AH104" s="2">
        <v>32</v>
      </c>
    </row>
    <row r="105" spans="1:34" ht="14.65" thickBot="1" x14ac:dyDescent="0.5">
      <c r="A105" s="80"/>
      <c r="B105" s="49" t="s">
        <v>4</v>
      </c>
      <c r="C105" s="52">
        <v>8</v>
      </c>
      <c r="D105" s="83"/>
      <c r="E105" s="51">
        <v>1.1499999999999999</v>
      </c>
      <c r="F105" s="2">
        <v>1.0109999999999999</v>
      </c>
      <c r="G105" s="2">
        <v>0.13900000000000001</v>
      </c>
      <c r="H105" s="2">
        <v>48.6</v>
      </c>
      <c r="I105" s="2">
        <v>33.299999999999997</v>
      </c>
      <c r="J105" s="2">
        <v>18.100000000000001</v>
      </c>
      <c r="K105" s="2">
        <v>117.1</v>
      </c>
      <c r="L105" s="2">
        <v>35.4</v>
      </c>
      <c r="M105" s="2">
        <v>42.6</v>
      </c>
      <c r="N105" s="2">
        <v>55.5</v>
      </c>
      <c r="O105" s="2">
        <v>0.30599999999999999</v>
      </c>
      <c r="P105" s="2">
        <v>67.3</v>
      </c>
      <c r="Q105" s="2">
        <v>0.98199999999999998</v>
      </c>
      <c r="R105" s="2">
        <v>1.8</v>
      </c>
      <c r="S105" s="2">
        <v>62.3</v>
      </c>
      <c r="T105" s="2">
        <v>34.6</v>
      </c>
      <c r="U105" s="2">
        <v>0.76200000000000001</v>
      </c>
      <c r="V105" s="2">
        <v>16.7</v>
      </c>
      <c r="W105" s="2">
        <v>35</v>
      </c>
      <c r="X105" s="2">
        <v>34.200000000000003</v>
      </c>
      <c r="Y105" s="2">
        <v>0.115</v>
      </c>
      <c r="Z105" s="2">
        <v>48.3</v>
      </c>
      <c r="AA105" s="2">
        <v>8.1000000000000003E-2</v>
      </c>
      <c r="AB105" s="2">
        <v>0.14899999999999999</v>
      </c>
      <c r="AC105" s="2">
        <v>0.153</v>
      </c>
      <c r="AD105" s="2">
        <v>0.4</v>
      </c>
      <c r="AE105" s="2">
        <v>0.5</v>
      </c>
      <c r="AF105" s="2">
        <v>23</v>
      </c>
      <c r="AG105" s="2">
        <v>10</v>
      </c>
      <c r="AH105" s="2">
        <v>42</v>
      </c>
    </row>
    <row r="106" spans="1:34" x14ac:dyDescent="0.45">
      <c r="A106" s="80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</row>
    <row r="107" spans="1:34" x14ac:dyDescent="0.45">
      <c r="A107" s="80"/>
      <c r="B107" s="49" t="s">
        <v>39</v>
      </c>
      <c r="C107" s="42">
        <v>1</v>
      </c>
      <c r="D107" s="84" t="s">
        <v>39</v>
      </c>
      <c r="E107" s="49">
        <v>1.2110000000000001</v>
      </c>
      <c r="F107" s="1">
        <v>0.90700000000000003</v>
      </c>
      <c r="G107" s="1">
        <v>0.30399999999999999</v>
      </c>
      <c r="H107" s="1">
        <v>45.1</v>
      </c>
      <c r="I107" s="1">
        <v>36.9</v>
      </c>
      <c r="J107" s="1">
        <v>18</v>
      </c>
      <c r="K107" s="1">
        <v>123</v>
      </c>
      <c r="L107" s="1">
        <v>37.700000000000003</v>
      </c>
      <c r="M107" s="1">
        <v>45.4</v>
      </c>
      <c r="N107" s="1">
        <v>57.4</v>
      </c>
      <c r="O107" s="1">
        <v>0.32100000000000001</v>
      </c>
      <c r="P107" s="1">
        <v>68.3</v>
      </c>
      <c r="Q107" s="1">
        <v>1.004</v>
      </c>
      <c r="R107" s="1">
        <v>3.8</v>
      </c>
      <c r="S107" s="1">
        <v>64.400000000000006</v>
      </c>
      <c r="T107" s="1">
        <v>34.1</v>
      </c>
      <c r="U107" s="1">
        <v>0.76300000000000001</v>
      </c>
      <c r="V107" s="1">
        <v>14</v>
      </c>
      <c r="W107" s="1">
        <v>31.1</v>
      </c>
      <c r="X107" s="1">
        <v>38.299999999999997</v>
      </c>
      <c r="Y107" s="1">
        <v>6.7000000000000004E-2</v>
      </c>
      <c r="Z107" s="1">
        <v>44.5</v>
      </c>
      <c r="AA107" s="1">
        <v>9.9000000000000005E-2</v>
      </c>
      <c r="AB107" s="1">
        <v>0.16600000000000001</v>
      </c>
      <c r="AC107" s="1">
        <v>0.16700000000000001</v>
      </c>
      <c r="AD107" s="1">
        <v>0.254</v>
      </c>
      <c r="AE107" s="1">
        <v>0.33300000000000002</v>
      </c>
      <c r="AF107" s="1">
        <v>31</v>
      </c>
      <c r="AG107" s="1">
        <v>3</v>
      </c>
      <c r="AH107" s="1">
        <v>37</v>
      </c>
    </row>
    <row r="108" spans="1:34" ht="14.65" thickBot="1" x14ac:dyDescent="0.5">
      <c r="A108" s="80"/>
      <c r="B108" s="51" t="s">
        <v>40</v>
      </c>
      <c r="C108" s="52">
        <v>9</v>
      </c>
      <c r="D108" s="83"/>
      <c r="E108" s="51">
        <v>1.107</v>
      </c>
      <c r="F108" s="2">
        <v>1.0209999999999999</v>
      </c>
      <c r="G108" s="2">
        <v>8.5999999999999993E-2</v>
      </c>
      <c r="H108" s="2">
        <v>48.8</v>
      </c>
      <c r="I108" s="2">
        <v>33</v>
      </c>
      <c r="J108" s="2">
        <v>18.2</v>
      </c>
      <c r="K108" s="2">
        <v>109.3</v>
      </c>
      <c r="L108" s="2">
        <v>34.700000000000003</v>
      </c>
      <c r="M108" s="2">
        <v>40.200000000000003</v>
      </c>
      <c r="N108" s="2">
        <v>51.5</v>
      </c>
      <c r="O108" s="2">
        <v>0.31</v>
      </c>
      <c r="P108" s="2">
        <v>68.2</v>
      </c>
      <c r="Q108" s="2">
        <v>1.0049999999999999</v>
      </c>
      <c r="R108" s="2">
        <v>3.9</v>
      </c>
      <c r="S108" s="2">
        <v>57</v>
      </c>
      <c r="T108" s="2">
        <v>33.5</v>
      </c>
      <c r="U108" s="2">
        <v>0.70599999999999996</v>
      </c>
      <c r="V108" s="2">
        <v>15.8</v>
      </c>
      <c r="W108" s="2">
        <v>35.9</v>
      </c>
      <c r="X108" s="2">
        <v>41.4</v>
      </c>
      <c r="Y108" s="2">
        <v>4.8000000000000001E-2</v>
      </c>
      <c r="Z108" s="2">
        <v>51.2</v>
      </c>
      <c r="AA108" s="2">
        <v>0.108</v>
      </c>
      <c r="AB108" s="2">
        <v>0.215</v>
      </c>
      <c r="AC108" s="2">
        <v>0.182</v>
      </c>
      <c r="AD108" s="2">
        <v>0.33500000000000002</v>
      </c>
      <c r="AE108" s="2">
        <v>0.36399999999999999</v>
      </c>
      <c r="AF108" s="2">
        <v>19</v>
      </c>
      <c r="AG108" s="2">
        <v>14</v>
      </c>
      <c r="AH108" s="2">
        <v>14</v>
      </c>
    </row>
    <row r="109" spans="1:34" x14ac:dyDescent="0.45">
      <c r="A109" s="80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</row>
    <row r="110" spans="1:34" x14ac:dyDescent="0.45">
      <c r="A110" s="80"/>
      <c r="B110" s="49" t="s">
        <v>51</v>
      </c>
      <c r="C110" s="52">
        <v>1</v>
      </c>
      <c r="D110" s="84" t="s">
        <v>51</v>
      </c>
      <c r="E110" s="51">
        <v>1.131</v>
      </c>
      <c r="F110" s="2">
        <v>0.89100000000000001</v>
      </c>
      <c r="G110" s="2">
        <v>0.24</v>
      </c>
      <c r="H110" s="2">
        <v>50.7</v>
      </c>
      <c r="I110" s="2">
        <v>32.700000000000003</v>
      </c>
      <c r="J110" s="2">
        <v>16.600000000000001</v>
      </c>
      <c r="K110" s="2">
        <v>111.2</v>
      </c>
      <c r="L110" s="2">
        <v>39.799999999999997</v>
      </c>
      <c r="M110" s="2">
        <v>34.5</v>
      </c>
      <c r="N110" s="2">
        <v>52.7</v>
      </c>
      <c r="O110" s="2">
        <v>0.28199999999999997</v>
      </c>
      <c r="P110" s="2">
        <v>65.599999999999994</v>
      </c>
      <c r="Q110" s="2">
        <v>1.026</v>
      </c>
      <c r="R110" s="2">
        <v>8.1999999999999993</v>
      </c>
      <c r="S110" s="2">
        <v>52.3</v>
      </c>
      <c r="T110" s="2">
        <v>35.700000000000003</v>
      </c>
      <c r="U110" s="2">
        <v>0.753</v>
      </c>
      <c r="V110" s="2">
        <v>14.2</v>
      </c>
      <c r="W110" s="2">
        <v>30.2</v>
      </c>
      <c r="X110" s="2">
        <v>43.4</v>
      </c>
      <c r="Y110" s="2">
        <v>0.09</v>
      </c>
      <c r="Z110" s="2">
        <v>44.9</v>
      </c>
      <c r="AA110" s="2">
        <v>0.122</v>
      </c>
      <c r="AB110" s="2">
        <v>0.16800000000000001</v>
      </c>
      <c r="AC110" s="2">
        <v>0.20899999999999999</v>
      </c>
      <c r="AD110" s="2">
        <v>0.34100000000000003</v>
      </c>
      <c r="AE110" s="2">
        <v>0.42899999999999999</v>
      </c>
      <c r="AF110" s="2">
        <v>30</v>
      </c>
      <c r="AG110" s="2">
        <v>4</v>
      </c>
      <c r="AH110" s="2">
        <v>9</v>
      </c>
    </row>
    <row r="111" spans="1:34" ht="14.65" thickBot="1" x14ac:dyDescent="0.5">
      <c r="A111" s="80"/>
      <c r="B111" s="50" t="s">
        <v>52</v>
      </c>
      <c r="C111" s="53">
        <v>8</v>
      </c>
      <c r="D111" s="83"/>
      <c r="E111" s="58">
        <v>1.181</v>
      </c>
      <c r="F111" s="41">
        <v>0.95</v>
      </c>
      <c r="G111" s="41">
        <v>0.23100000000000001</v>
      </c>
      <c r="H111" s="41">
        <v>55.9</v>
      </c>
      <c r="I111" s="41">
        <v>26.1</v>
      </c>
      <c r="J111" s="41">
        <v>18</v>
      </c>
      <c r="K111" s="41">
        <v>119.3</v>
      </c>
      <c r="L111" s="41">
        <v>34.4</v>
      </c>
      <c r="M111" s="41">
        <v>33.5</v>
      </c>
      <c r="N111" s="41">
        <v>55.7</v>
      </c>
      <c r="O111" s="41">
        <v>0.309</v>
      </c>
      <c r="P111" s="41">
        <v>73.3</v>
      </c>
      <c r="Q111" s="41">
        <v>0.995</v>
      </c>
      <c r="R111" s="41">
        <v>4.5999999999999996</v>
      </c>
      <c r="S111" s="41">
        <v>62.7</v>
      </c>
      <c r="T111" s="41">
        <v>30.4</v>
      </c>
      <c r="U111" s="41">
        <v>0.76400000000000001</v>
      </c>
      <c r="V111" s="41">
        <v>12.9</v>
      </c>
      <c r="W111" s="41">
        <v>30.3</v>
      </c>
      <c r="X111" s="41">
        <v>40.200000000000003</v>
      </c>
      <c r="Y111" s="41">
        <v>4.9000000000000002E-2</v>
      </c>
      <c r="Z111" s="41">
        <v>47.6</v>
      </c>
      <c r="AA111" s="41">
        <v>0.10199999999999999</v>
      </c>
      <c r="AB111" s="41">
        <v>0.16800000000000001</v>
      </c>
      <c r="AC111" s="41">
        <v>0.17499999999999999</v>
      </c>
      <c r="AD111" s="41">
        <v>0.28599999999999998</v>
      </c>
      <c r="AE111" s="41">
        <v>0</v>
      </c>
      <c r="AF111" s="41">
        <v>25</v>
      </c>
      <c r="AG111" s="41">
        <v>8</v>
      </c>
      <c r="AH111" s="41">
        <v>82</v>
      </c>
    </row>
    <row r="112" spans="1:34" x14ac:dyDescent="0.45">
      <c r="A112" s="80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</row>
    <row r="113" spans="1:34" x14ac:dyDescent="0.45">
      <c r="A113" s="80"/>
      <c r="B113" s="49" t="s">
        <v>24</v>
      </c>
      <c r="C113" s="52">
        <v>2</v>
      </c>
      <c r="D113" s="84" t="s">
        <v>24</v>
      </c>
      <c r="E113" s="51">
        <v>1.1020000000000001</v>
      </c>
      <c r="F113" s="2">
        <v>0.94799999999999995</v>
      </c>
      <c r="G113" s="2">
        <v>0.154</v>
      </c>
      <c r="H113" s="2">
        <v>54.5</v>
      </c>
      <c r="I113" s="2">
        <v>23.1</v>
      </c>
      <c r="J113" s="2">
        <v>22.4</v>
      </c>
      <c r="K113" s="2">
        <v>111.5</v>
      </c>
      <c r="L113" s="2">
        <v>30.8</v>
      </c>
      <c r="M113" s="2">
        <v>32.700000000000003</v>
      </c>
      <c r="N113" s="2">
        <v>51.2</v>
      </c>
      <c r="O113" s="2">
        <v>0.378</v>
      </c>
      <c r="P113" s="2">
        <v>70.900000000000006</v>
      </c>
      <c r="Q113" s="2">
        <v>0.98699999999999999</v>
      </c>
      <c r="R113" s="2">
        <v>2.7</v>
      </c>
      <c r="S113" s="2">
        <v>57.8</v>
      </c>
      <c r="T113" s="2">
        <v>33.700000000000003</v>
      </c>
      <c r="U113" s="2">
        <v>0.77100000000000002</v>
      </c>
      <c r="V113" s="2">
        <v>16.3</v>
      </c>
      <c r="W113" s="2">
        <v>28</v>
      </c>
      <c r="X113" s="2">
        <v>40.700000000000003</v>
      </c>
      <c r="Y113" s="2">
        <v>7.8E-2</v>
      </c>
      <c r="Z113" s="2">
        <v>46.1</v>
      </c>
      <c r="AA113" s="2">
        <v>7.6999999999999999E-2</v>
      </c>
      <c r="AB113" s="2">
        <v>0.17399999999999999</v>
      </c>
      <c r="AC113" s="2">
        <v>0.159</v>
      </c>
      <c r="AD113" s="2">
        <v>0.33100000000000002</v>
      </c>
      <c r="AE113" s="2">
        <v>0.57099999999999995</v>
      </c>
      <c r="AF113" s="2">
        <v>27</v>
      </c>
      <c r="AG113" s="2">
        <v>6</v>
      </c>
      <c r="AH113" s="2">
        <v>19</v>
      </c>
    </row>
    <row r="114" spans="1:34" ht="14.65" thickBot="1" x14ac:dyDescent="0.5">
      <c r="A114" s="80"/>
      <c r="B114" s="49" t="s">
        <v>23</v>
      </c>
      <c r="C114" s="52">
        <v>10</v>
      </c>
      <c r="D114" s="83"/>
      <c r="E114" s="51">
        <v>1.0589999999999999</v>
      </c>
      <c r="F114" s="2">
        <v>0.93700000000000006</v>
      </c>
      <c r="G114" s="2">
        <v>0.122</v>
      </c>
      <c r="H114" s="2">
        <v>54.4</v>
      </c>
      <c r="I114" s="2">
        <v>25.5</v>
      </c>
      <c r="J114" s="2">
        <v>20.100000000000001</v>
      </c>
      <c r="K114" s="2">
        <v>108.1</v>
      </c>
      <c r="L114" s="2">
        <v>34.1</v>
      </c>
      <c r="M114" s="2">
        <v>32.200000000000003</v>
      </c>
      <c r="N114" s="2">
        <v>50.8</v>
      </c>
      <c r="O114" s="2">
        <v>0.378</v>
      </c>
      <c r="P114" s="2">
        <v>75.5</v>
      </c>
      <c r="Q114" s="2">
        <v>0.97799999999999998</v>
      </c>
      <c r="R114" s="2">
        <v>5.7</v>
      </c>
      <c r="S114" s="2">
        <v>56.1</v>
      </c>
      <c r="T114" s="2">
        <v>28.9</v>
      </c>
      <c r="U114" s="2">
        <v>0.77200000000000002</v>
      </c>
      <c r="V114" s="2">
        <v>15.1</v>
      </c>
      <c r="W114" s="2">
        <v>33.799999999999997</v>
      </c>
      <c r="X114" s="2">
        <v>38.299999999999997</v>
      </c>
      <c r="Y114" s="2">
        <v>8.5999999999999993E-2</v>
      </c>
      <c r="Z114" s="2">
        <v>49.2</v>
      </c>
      <c r="AA114" s="2">
        <v>0.113</v>
      </c>
      <c r="AB114" s="2">
        <v>0.19600000000000001</v>
      </c>
      <c r="AC114" s="2">
        <v>0.19700000000000001</v>
      </c>
      <c r="AD114" s="2">
        <v>0.35</v>
      </c>
      <c r="AE114" s="2">
        <v>0.625</v>
      </c>
      <c r="AF114" s="2">
        <v>26</v>
      </c>
      <c r="AG114" s="2">
        <v>7</v>
      </c>
      <c r="AH114" s="2">
        <v>87</v>
      </c>
    </row>
    <row r="115" spans="1:34" x14ac:dyDescent="0.45">
      <c r="A115" s="80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</row>
    <row r="116" spans="1:34" x14ac:dyDescent="0.45">
      <c r="A116" s="80"/>
      <c r="B116" s="51" t="s">
        <v>49</v>
      </c>
      <c r="C116" s="52">
        <v>2</v>
      </c>
      <c r="D116" s="84" t="s">
        <v>49</v>
      </c>
      <c r="E116" s="51">
        <v>1.1559999999999999</v>
      </c>
      <c r="F116" s="2">
        <v>1.0329999999999999</v>
      </c>
      <c r="G116" s="2">
        <v>0.123</v>
      </c>
      <c r="H116" s="2">
        <v>45.1</v>
      </c>
      <c r="I116" s="2">
        <v>34.799999999999997</v>
      </c>
      <c r="J116" s="2">
        <v>20.100000000000001</v>
      </c>
      <c r="K116" s="2">
        <v>120</v>
      </c>
      <c r="L116" s="2">
        <v>35</v>
      </c>
      <c r="M116" s="2">
        <v>46.2</v>
      </c>
      <c r="N116" s="2">
        <v>56.4</v>
      </c>
      <c r="O116" s="2">
        <v>0.40100000000000002</v>
      </c>
      <c r="P116" s="2">
        <v>78.8</v>
      </c>
      <c r="Q116" s="2">
        <v>0.97399999999999998</v>
      </c>
      <c r="R116" s="2">
        <v>-2.4</v>
      </c>
      <c r="S116" s="2">
        <v>68.5</v>
      </c>
      <c r="T116" s="2">
        <v>32.700000000000003</v>
      </c>
      <c r="U116" s="2">
        <v>0.73099999999999998</v>
      </c>
      <c r="V116" s="2">
        <v>16.2</v>
      </c>
      <c r="W116" s="2">
        <v>30.4</v>
      </c>
      <c r="X116" s="2">
        <v>34.6</v>
      </c>
      <c r="Y116" s="2">
        <v>6.6000000000000003E-2</v>
      </c>
      <c r="Z116" s="2">
        <v>47.9</v>
      </c>
      <c r="AA116" s="2">
        <v>7.6999999999999999E-2</v>
      </c>
      <c r="AB116" s="2">
        <v>0.16300000000000001</v>
      </c>
      <c r="AC116" s="2">
        <v>0.13</v>
      </c>
      <c r="AD116" s="2">
        <v>0.33900000000000002</v>
      </c>
      <c r="AE116" s="2">
        <v>0.66700000000000004</v>
      </c>
      <c r="AF116" s="2">
        <v>25</v>
      </c>
      <c r="AG116" s="2">
        <v>8</v>
      </c>
      <c r="AH116" s="2">
        <v>1</v>
      </c>
    </row>
    <row r="117" spans="1:34" ht="14.65" thickBot="1" x14ac:dyDescent="0.5">
      <c r="A117" s="80"/>
      <c r="B117" s="49" t="s">
        <v>47</v>
      </c>
      <c r="C117" s="52">
        <v>7</v>
      </c>
      <c r="D117" s="83"/>
      <c r="E117" s="51">
        <v>1.1180000000000001</v>
      </c>
      <c r="F117" s="2">
        <v>0.93500000000000005</v>
      </c>
      <c r="G117" s="2">
        <v>0.183</v>
      </c>
      <c r="H117" s="2">
        <v>56</v>
      </c>
      <c r="I117" s="2">
        <v>26.3</v>
      </c>
      <c r="J117" s="2">
        <v>17.7</v>
      </c>
      <c r="K117" s="2">
        <v>106.4</v>
      </c>
      <c r="L117" s="2">
        <v>32.700000000000003</v>
      </c>
      <c r="M117" s="2">
        <v>33.299999999999997</v>
      </c>
      <c r="N117" s="2">
        <v>50.9</v>
      </c>
      <c r="O117" s="2">
        <v>0.314</v>
      </c>
      <c r="P117" s="2">
        <v>65.599999999999994</v>
      </c>
      <c r="Q117" s="2">
        <v>1.038</v>
      </c>
      <c r="R117" s="2">
        <v>6.2</v>
      </c>
      <c r="S117" s="2">
        <v>55.3</v>
      </c>
      <c r="T117" s="2">
        <v>39.200000000000003</v>
      </c>
      <c r="U117" s="2">
        <v>0.77900000000000003</v>
      </c>
      <c r="V117" s="2">
        <v>14.8</v>
      </c>
      <c r="W117" s="2">
        <v>31.4</v>
      </c>
      <c r="X117" s="2">
        <v>31.8</v>
      </c>
      <c r="Y117" s="2">
        <v>7.1999999999999995E-2</v>
      </c>
      <c r="Z117" s="2">
        <v>46.2</v>
      </c>
      <c r="AA117" s="2">
        <v>9.2999999999999999E-2</v>
      </c>
      <c r="AB117" s="2">
        <v>0.189</v>
      </c>
      <c r="AC117" s="2">
        <v>0.159</v>
      </c>
      <c r="AD117" s="2">
        <v>0.25</v>
      </c>
      <c r="AE117" s="2">
        <v>0.625</v>
      </c>
      <c r="AF117" s="2">
        <v>28</v>
      </c>
      <c r="AG117" s="2">
        <v>5</v>
      </c>
      <c r="AH117" s="2">
        <v>92</v>
      </c>
    </row>
    <row r="118" spans="1:34" x14ac:dyDescent="0.45">
      <c r="A118" s="80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</row>
    <row r="119" spans="1:34" ht="14.65" thickBot="1" x14ac:dyDescent="0.5">
      <c r="A119" s="80"/>
      <c r="B119" s="50" t="s">
        <v>61</v>
      </c>
      <c r="C119" s="53">
        <v>2</v>
      </c>
      <c r="D119" s="84" t="s">
        <v>61</v>
      </c>
      <c r="E119" s="58">
        <v>1.1060000000000001</v>
      </c>
      <c r="F119" s="41">
        <v>0.93200000000000005</v>
      </c>
      <c r="G119" s="41">
        <v>0.17399999999999999</v>
      </c>
      <c r="H119" s="41">
        <v>46.2</v>
      </c>
      <c r="I119" s="41">
        <v>33.9</v>
      </c>
      <c r="J119" s="41">
        <v>20</v>
      </c>
      <c r="K119" s="41">
        <v>113.2</v>
      </c>
      <c r="L119" s="41">
        <v>34</v>
      </c>
      <c r="M119" s="41">
        <v>43</v>
      </c>
      <c r="N119" s="41">
        <v>52.8</v>
      </c>
      <c r="O119" s="41">
        <v>0.35399999999999998</v>
      </c>
      <c r="P119" s="41">
        <v>67.599999999999994</v>
      </c>
      <c r="Q119" s="41">
        <v>0.98699999999999999</v>
      </c>
      <c r="R119" s="41">
        <v>2.4</v>
      </c>
      <c r="S119" s="41">
        <v>59.3</v>
      </c>
      <c r="T119" s="41">
        <v>33.6</v>
      </c>
      <c r="U119" s="41">
        <v>0.73699999999999999</v>
      </c>
      <c r="V119" s="41">
        <v>15.5</v>
      </c>
      <c r="W119" s="41">
        <v>28.7</v>
      </c>
      <c r="X119" s="41">
        <v>44.6</v>
      </c>
      <c r="Y119" s="41">
        <v>8.4000000000000005E-2</v>
      </c>
      <c r="Z119" s="41">
        <v>44.4</v>
      </c>
      <c r="AA119" s="41">
        <v>0.104</v>
      </c>
      <c r="AB119" s="41">
        <v>0.151</v>
      </c>
      <c r="AC119" s="41">
        <v>0.17299999999999999</v>
      </c>
      <c r="AD119" s="41">
        <v>0.29399999999999998</v>
      </c>
      <c r="AE119" s="41">
        <v>0.6</v>
      </c>
      <c r="AF119" s="41">
        <v>27</v>
      </c>
      <c r="AG119" s="41">
        <v>7</v>
      </c>
      <c r="AH119" s="41">
        <v>17</v>
      </c>
    </row>
    <row r="120" spans="1:34" ht="14.65" thickBot="1" x14ac:dyDescent="0.5">
      <c r="A120" s="80"/>
      <c r="B120" s="51" t="s">
        <v>3</v>
      </c>
      <c r="C120" s="52">
        <v>7</v>
      </c>
      <c r="D120" s="83"/>
      <c r="E120" s="51">
        <v>1.103</v>
      </c>
      <c r="F120" s="2">
        <v>0.97</v>
      </c>
      <c r="G120" s="2">
        <v>0.13300000000000001</v>
      </c>
      <c r="H120" s="2">
        <v>52.1</v>
      </c>
      <c r="I120" s="2">
        <v>30</v>
      </c>
      <c r="J120" s="2">
        <v>17.8</v>
      </c>
      <c r="K120" s="2">
        <v>111.5</v>
      </c>
      <c r="L120" s="2">
        <v>35.200000000000003</v>
      </c>
      <c r="M120" s="2">
        <v>36</v>
      </c>
      <c r="N120" s="2">
        <v>53</v>
      </c>
      <c r="O120" s="2">
        <v>0.32900000000000001</v>
      </c>
      <c r="P120" s="2">
        <v>67.7</v>
      </c>
      <c r="Q120" s="2">
        <v>0.98499999999999999</v>
      </c>
      <c r="R120" s="2">
        <v>6.1</v>
      </c>
      <c r="S120" s="2">
        <v>56.7</v>
      </c>
      <c r="T120" s="2">
        <v>32.1</v>
      </c>
      <c r="U120" s="2">
        <v>0.71799999999999997</v>
      </c>
      <c r="V120" s="2">
        <v>15.6</v>
      </c>
      <c r="W120" s="2">
        <v>32.799999999999997</v>
      </c>
      <c r="X120" s="2">
        <v>45</v>
      </c>
      <c r="Y120" s="2">
        <v>6.0999999999999999E-2</v>
      </c>
      <c r="Z120" s="2">
        <v>50.5</v>
      </c>
      <c r="AA120" s="2">
        <v>0.12</v>
      </c>
      <c r="AB120" s="2">
        <v>0.191</v>
      </c>
      <c r="AC120" s="2">
        <v>0.224</v>
      </c>
      <c r="AD120" s="2">
        <v>0.34599999999999997</v>
      </c>
      <c r="AE120" s="2">
        <v>0.72699999999999998</v>
      </c>
      <c r="AF120" s="2">
        <v>22</v>
      </c>
      <c r="AG120" s="2">
        <v>10</v>
      </c>
      <c r="AH120" s="2">
        <v>50</v>
      </c>
    </row>
    <row r="121" spans="1:34" x14ac:dyDescent="0.45">
      <c r="A121" s="80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</row>
    <row r="122" spans="1:34" x14ac:dyDescent="0.45">
      <c r="A122" s="80"/>
      <c r="B122" s="49" t="s">
        <v>37</v>
      </c>
      <c r="C122" s="52">
        <v>2</v>
      </c>
      <c r="D122" s="84" t="s">
        <v>36</v>
      </c>
      <c r="E122" s="51">
        <v>1.069</v>
      </c>
      <c r="F122" s="2">
        <v>0.89500000000000002</v>
      </c>
      <c r="G122" s="2">
        <v>0.17399999999999999</v>
      </c>
      <c r="H122" s="2">
        <v>59</v>
      </c>
      <c r="I122" s="2">
        <v>23.5</v>
      </c>
      <c r="J122" s="2">
        <v>17.600000000000001</v>
      </c>
      <c r="K122" s="2">
        <v>104.4</v>
      </c>
      <c r="L122" s="2">
        <v>30.4</v>
      </c>
      <c r="M122" s="2">
        <v>30.3</v>
      </c>
      <c r="N122" s="2">
        <v>49.7</v>
      </c>
      <c r="O122" s="2">
        <v>0.30199999999999999</v>
      </c>
      <c r="P122" s="2">
        <v>73.599999999999994</v>
      </c>
      <c r="Q122" s="2">
        <v>1.0229999999999999</v>
      </c>
      <c r="R122" s="2">
        <v>7.8</v>
      </c>
      <c r="S122" s="2">
        <v>55.7</v>
      </c>
      <c r="T122" s="2">
        <v>35.5</v>
      </c>
      <c r="U122" s="2">
        <v>0.72799999999999998</v>
      </c>
      <c r="V122" s="2">
        <v>15.1</v>
      </c>
      <c r="W122" s="2">
        <v>30.6</v>
      </c>
      <c r="X122" s="2">
        <v>40.799999999999997</v>
      </c>
      <c r="Y122" s="2">
        <v>8.7999999999999995E-2</v>
      </c>
      <c r="Z122" s="2">
        <v>46.6</v>
      </c>
      <c r="AA122" s="2">
        <v>0.121</v>
      </c>
      <c r="AB122" s="2">
        <v>0.17499999999999999</v>
      </c>
      <c r="AC122" s="2">
        <v>0.20899999999999999</v>
      </c>
      <c r="AD122" s="2">
        <v>0.30399999999999999</v>
      </c>
      <c r="AE122" s="2">
        <v>0.5</v>
      </c>
      <c r="AF122" s="2">
        <v>30</v>
      </c>
      <c r="AG122" s="2">
        <v>4</v>
      </c>
      <c r="AH122" s="2">
        <v>40</v>
      </c>
    </row>
    <row r="123" spans="1:34" ht="14.65" thickBot="1" x14ac:dyDescent="0.5">
      <c r="A123" s="80"/>
      <c r="B123" s="50" t="s">
        <v>36</v>
      </c>
      <c r="C123" s="53">
        <v>10</v>
      </c>
      <c r="D123" s="83"/>
      <c r="E123" s="58">
        <v>1.06</v>
      </c>
      <c r="F123" s="41">
        <v>0.98399999999999999</v>
      </c>
      <c r="G123" s="41">
        <v>7.5999999999999998E-2</v>
      </c>
      <c r="H123" s="41">
        <v>52.4</v>
      </c>
      <c r="I123" s="41">
        <v>27.5</v>
      </c>
      <c r="J123" s="41">
        <v>20.100000000000001</v>
      </c>
      <c r="K123" s="41">
        <v>111.8</v>
      </c>
      <c r="L123" s="41">
        <v>33.299999999999997</v>
      </c>
      <c r="M123" s="41">
        <v>36.700000000000003</v>
      </c>
      <c r="N123" s="41">
        <v>52.7</v>
      </c>
      <c r="O123" s="41">
        <v>0.35499999999999998</v>
      </c>
      <c r="P123" s="41">
        <v>72.3</v>
      </c>
      <c r="Q123" s="41">
        <v>0.95</v>
      </c>
      <c r="R123" s="41">
        <v>-1</v>
      </c>
      <c r="S123" s="41">
        <v>58.3</v>
      </c>
      <c r="T123" s="41">
        <v>25</v>
      </c>
      <c r="U123" s="41">
        <v>0.72</v>
      </c>
      <c r="V123" s="41">
        <v>16.100000000000001</v>
      </c>
      <c r="W123" s="41">
        <v>31.4</v>
      </c>
      <c r="X123" s="41">
        <v>38.9</v>
      </c>
      <c r="Y123" s="41">
        <v>9.0999999999999998E-2</v>
      </c>
      <c r="Z123" s="41">
        <v>48.3</v>
      </c>
      <c r="AA123" s="41">
        <v>0.104</v>
      </c>
      <c r="AB123" s="41">
        <v>0.16900000000000001</v>
      </c>
      <c r="AC123" s="41">
        <v>0.16800000000000001</v>
      </c>
      <c r="AD123" s="41">
        <v>0.29399999999999998</v>
      </c>
      <c r="AE123" s="41">
        <v>0.54600000000000004</v>
      </c>
      <c r="AF123" s="41">
        <v>20</v>
      </c>
      <c r="AG123" s="41">
        <v>13</v>
      </c>
      <c r="AH123" s="41">
        <v>43</v>
      </c>
    </row>
    <row r="124" spans="1:34" x14ac:dyDescent="0.45">
      <c r="A124" s="80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</row>
    <row r="125" spans="1:34" x14ac:dyDescent="0.45">
      <c r="A125" s="80"/>
      <c r="B125" s="51" t="s">
        <v>58</v>
      </c>
      <c r="C125" s="52">
        <v>3</v>
      </c>
      <c r="D125" s="84" t="s">
        <v>58</v>
      </c>
      <c r="E125" s="51">
        <v>1.1459999999999999</v>
      </c>
      <c r="F125" s="2">
        <v>1.046</v>
      </c>
      <c r="G125" s="2">
        <v>0.1</v>
      </c>
      <c r="H125" s="2">
        <v>47.4</v>
      </c>
      <c r="I125" s="2">
        <v>33.799999999999997</v>
      </c>
      <c r="J125" s="2">
        <v>18.8</v>
      </c>
      <c r="K125" s="2">
        <v>117.9</v>
      </c>
      <c r="L125" s="2">
        <v>37.4</v>
      </c>
      <c r="M125" s="2">
        <v>41.7</v>
      </c>
      <c r="N125" s="2">
        <v>56</v>
      </c>
      <c r="O125" s="2">
        <v>0.35899999999999999</v>
      </c>
      <c r="P125" s="2">
        <v>74.400000000000006</v>
      </c>
      <c r="Q125" s="2">
        <v>0.96799999999999997</v>
      </c>
      <c r="R125" s="2">
        <v>-0.6</v>
      </c>
      <c r="S125" s="2">
        <v>60.6</v>
      </c>
      <c r="T125" s="2">
        <v>27</v>
      </c>
      <c r="U125" s="2">
        <v>0.748</v>
      </c>
      <c r="V125" s="2">
        <v>14.9</v>
      </c>
      <c r="W125" s="2">
        <v>30.5</v>
      </c>
      <c r="X125" s="2">
        <v>43.7</v>
      </c>
      <c r="Y125" s="2">
        <v>6.4000000000000001E-2</v>
      </c>
      <c r="Z125" s="2">
        <v>50.4</v>
      </c>
      <c r="AA125" s="2">
        <v>9.2999999999999999E-2</v>
      </c>
      <c r="AB125" s="2">
        <v>0.17199999999999999</v>
      </c>
      <c r="AC125" s="2">
        <v>0.13900000000000001</v>
      </c>
      <c r="AD125" s="2">
        <v>0.31</v>
      </c>
      <c r="AE125" s="2">
        <v>0.6</v>
      </c>
      <c r="AF125" s="2">
        <v>22</v>
      </c>
      <c r="AG125" s="2">
        <v>11</v>
      </c>
      <c r="AH125" s="2">
        <v>10</v>
      </c>
    </row>
    <row r="126" spans="1:34" ht="14.65" thickBot="1" x14ac:dyDescent="0.5">
      <c r="A126" s="80"/>
      <c r="B126" s="50" t="s">
        <v>57</v>
      </c>
      <c r="C126" s="53">
        <v>6</v>
      </c>
      <c r="D126" s="83"/>
      <c r="E126" s="58">
        <v>1.125</v>
      </c>
      <c r="F126" s="41">
        <v>1.0009999999999999</v>
      </c>
      <c r="G126" s="41">
        <v>0.124</v>
      </c>
      <c r="H126" s="41">
        <v>46.2</v>
      </c>
      <c r="I126" s="41">
        <v>33.799999999999997</v>
      </c>
      <c r="J126" s="41">
        <v>20</v>
      </c>
      <c r="K126" s="41">
        <v>112.7</v>
      </c>
      <c r="L126" s="41">
        <v>31.1</v>
      </c>
      <c r="M126" s="41">
        <v>46.9</v>
      </c>
      <c r="N126" s="41">
        <v>52.3</v>
      </c>
      <c r="O126" s="41">
        <v>0.34599999999999997</v>
      </c>
      <c r="P126" s="41">
        <v>74.5</v>
      </c>
      <c r="Q126" s="41">
        <v>1</v>
      </c>
      <c r="R126" s="41">
        <v>0.5</v>
      </c>
      <c r="S126" s="41">
        <v>62.8</v>
      </c>
      <c r="T126" s="41">
        <v>35.299999999999997</v>
      </c>
      <c r="U126" s="41">
        <v>0.76900000000000002</v>
      </c>
      <c r="V126" s="41">
        <v>15.5</v>
      </c>
      <c r="W126" s="41">
        <v>33.6</v>
      </c>
      <c r="X126" s="41">
        <v>30.5</v>
      </c>
      <c r="Y126" s="41">
        <v>6.4000000000000001E-2</v>
      </c>
      <c r="Z126" s="41">
        <v>47.3</v>
      </c>
      <c r="AA126" s="41">
        <v>5.8000000000000003E-2</v>
      </c>
      <c r="AB126" s="41">
        <v>0.17100000000000001</v>
      </c>
      <c r="AC126" s="41">
        <v>0.121</v>
      </c>
      <c r="AD126" s="41">
        <v>0.26800000000000002</v>
      </c>
      <c r="AE126" s="41">
        <v>0.5</v>
      </c>
      <c r="AF126" s="41">
        <v>21</v>
      </c>
      <c r="AG126" s="41">
        <v>12</v>
      </c>
      <c r="AH126" s="41">
        <v>11</v>
      </c>
    </row>
    <row r="127" spans="1:34" x14ac:dyDescent="0.45">
      <c r="A127" s="80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</row>
    <row r="128" spans="1:34" x14ac:dyDescent="0.45">
      <c r="A128" s="80"/>
      <c r="B128" s="49" t="s">
        <v>20</v>
      </c>
      <c r="C128" s="52">
        <v>3</v>
      </c>
      <c r="D128" s="84" t="s">
        <v>19</v>
      </c>
      <c r="E128" s="51">
        <v>1.115</v>
      </c>
      <c r="F128" s="2">
        <v>0.94499999999999995</v>
      </c>
      <c r="G128" s="2">
        <v>0.17</v>
      </c>
      <c r="H128" s="2">
        <v>50.8</v>
      </c>
      <c r="I128" s="2">
        <v>28.6</v>
      </c>
      <c r="J128" s="2">
        <v>20.6</v>
      </c>
      <c r="K128" s="2">
        <v>117.2</v>
      </c>
      <c r="L128" s="2">
        <v>35.799999999999997</v>
      </c>
      <c r="M128" s="2">
        <v>36.9</v>
      </c>
      <c r="N128" s="2">
        <v>54.6</v>
      </c>
      <c r="O128" s="2">
        <v>0.38500000000000001</v>
      </c>
      <c r="P128" s="2">
        <v>72.099999999999994</v>
      </c>
      <c r="Q128" s="2">
        <v>0.95699999999999996</v>
      </c>
      <c r="R128" s="2">
        <v>4</v>
      </c>
      <c r="S128" s="2">
        <v>60.9</v>
      </c>
      <c r="T128" s="2">
        <v>30.5</v>
      </c>
      <c r="U128" s="2">
        <v>0.74399999999999999</v>
      </c>
      <c r="V128" s="2">
        <v>16.5</v>
      </c>
      <c r="W128" s="2">
        <v>33.6</v>
      </c>
      <c r="X128" s="2">
        <v>40.9</v>
      </c>
      <c r="Y128" s="2">
        <v>0.06</v>
      </c>
      <c r="Z128" s="2">
        <v>48.4</v>
      </c>
      <c r="AA128" s="2">
        <v>0.129</v>
      </c>
      <c r="AB128" s="2">
        <v>0.186</v>
      </c>
      <c r="AC128" s="2">
        <v>0.21199999999999999</v>
      </c>
      <c r="AD128" s="2">
        <v>0.28899999999999998</v>
      </c>
      <c r="AE128" s="2">
        <v>0.4</v>
      </c>
      <c r="AF128" s="2">
        <v>24</v>
      </c>
      <c r="AG128" s="2">
        <v>9</v>
      </c>
      <c r="AH128" s="2">
        <v>30</v>
      </c>
    </row>
    <row r="129" spans="1:34" ht="14.65" thickBot="1" x14ac:dyDescent="0.5">
      <c r="A129" s="80"/>
      <c r="B129" s="49" t="s">
        <v>19</v>
      </c>
      <c r="C129" s="52">
        <v>6</v>
      </c>
      <c r="D129" s="83"/>
      <c r="E129" s="51">
        <v>1.0760000000000001</v>
      </c>
      <c r="F129" s="2">
        <v>1</v>
      </c>
      <c r="G129" s="2">
        <v>7.5999999999999998E-2</v>
      </c>
      <c r="H129" s="2">
        <v>47.4</v>
      </c>
      <c r="I129" s="2">
        <v>32.200000000000003</v>
      </c>
      <c r="J129" s="2">
        <v>20.399999999999999</v>
      </c>
      <c r="K129" s="2">
        <v>110.7</v>
      </c>
      <c r="L129" s="2">
        <v>34.1</v>
      </c>
      <c r="M129" s="2">
        <v>40.200000000000003</v>
      </c>
      <c r="N129" s="2">
        <v>51.1</v>
      </c>
      <c r="O129" s="2">
        <v>0.35599999999999998</v>
      </c>
      <c r="P129" s="2">
        <v>71.7</v>
      </c>
      <c r="Q129" s="2">
        <v>0.97599999999999998</v>
      </c>
      <c r="R129" s="2">
        <v>3.7</v>
      </c>
      <c r="S129" s="2">
        <v>57.3</v>
      </c>
      <c r="T129" s="2">
        <v>22.8</v>
      </c>
      <c r="U129" s="2">
        <v>0.72099999999999997</v>
      </c>
      <c r="V129" s="2">
        <v>12.4</v>
      </c>
      <c r="W129" s="2">
        <v>32.5</v>
      </c>
      <c r="X129" s="2">
        <v>43.5</v>
      </c>
      <c r="Y129" s="2">
        <v>6.7000000000000004E-2</v>
      </c>
      <c r="Z129" s="2">
        <v>50.5</v>
      </c>
      <c r="AA129" s="2">
        <v>0.122</v>
      </c>
      <c r="AB129" s="2">
        <v>0.19500000000000001</v>
      </c>
      <c r="AC129" s="2">
        <v>0.19800000000000001</v>
      </c>
      <c r="AD129" s="2">
        <v>0.39400000000000002</v>
      </c>
      <c r="AE129" s="2">
        <v>0.58299999999999996</v>
      </c>
      <c r="AF129" s="2">
        <v>22</v>
      </c>
      <c r="AG129" s="2">
        <v>11</v>
      </c>
      <c r="AH129" s="2">
        <v>29</v>
      </c>
    </row>
    <row r="130" spans="1:34" x14ac:dyDescent="0.45">
      <c r="A130" s="80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</row>
    <row r="131" spans="1:34" x14ac:dyDescent="0.45">
      <c r="A131" s="80"/>
      <c r="B131" s="49" t="s">
        <v>34</v>
      </c>
      <c r="C131" s="52">
        <v>3</v>
      </c>
      <c r="D131" s="84" t="s">
        <v>34</v>
      </c>
      <c r="E131" s="51">
        <v>1.1719999999999999</v>
      </c>
      <c r="F131" s="2">
        <v>0.97899999999999998</v>
      </c>
      <c r="G131" s="2">
        <v>0.193</v>
      </c>
      <c r="H131" s="2">
        <v>45.8</v>
      </c>
      <c r="I131" s="2">
        <v>37.200000000000003</v>
      </c>
      <c r="J131" s="2">
        <v>17.100000000000001</v>
      </c>
      <c r="K131" s="2">
        <v>116.1</v>
      </c>
      <c r="L131" s="2">
        <v>37.9</v>
      </c>
      <c r="M131" s="2">
        <v>44.6</v>
      </c>
      <c r="N131" s="2">
        <v>55.5</v>
      </c>
      <c r="O131" s="2">
        <v>0.29699999999999999</v>
      </c>
      <c r="P131" s="2">
        <v>69</v>
      </c>
      <c r="Q131" s="2">
        <v>1.006</v>
      </c>
      <c r="R131" s="2">
        <v>3.4</v>
      </c>
      <c r="S131" s="2">
        <v>59.4</v>
      </c>
      <c r="T131" s="2">
        <v>32.200000000000003</v>
      </c>
      <c r="U131" s="2">
        <v>0.73099999999999998</v>
      </c>
      <c r="V131" s="2">
        <v>14.4</v>
      </c>
      <c r="W131" s="2">
        <v>32.4</v>
      </c>
      <c r="X131" s="2">
        <v>34.6</v>
      </c>
      <c r="Y131" s="2">
        <v>5.5E-2</v>
      </c>
      <c r="Z131" s="2">
        <v>48</v>
      </c>
      <c r="AA131" s="2">
        <v>9.1999999999999998E-2</v>
      </c>
      <c r="AB131" s="2">
        <v>0.16200000000000001</v>
      </c>
      <c r="AC131" s="2">
        <v>0.16700000000000001</v>
      </c>
      <c r="AD131" s="2">
        <v>0.33500000000000002</v>
      </c>
      <c r="AE131" s="2">
        <v>0.58299999999999996</v>
      </c>
      <c r="AF131" s="2">
        <v>25</v>
      </c>
      <c r="AG131" s="2">
        <v>8</v>
      </c>
      <c r="AH131" s="2">
        <v>47</v>
      </c>
    </row>
    <row r="132" spans="1:34" ht="14.65" thickBot="1" x14ac:dyDescent="0.5">
      <c r="A132" s="80"/>
      <c r="B132" s="51" t="s">
        <v>33</v>
      </c>
      <c r="C132" s="52">
        <v>11</v>
      </c>
      <c r="D132" s="83"/>
      <c r="E132" s="51">
        <v>1.1100000000000001</v>
      </c>
      <c r="F132" s="2">
        <v>0.96499999999999997</v>
      </c>
      <c r="G132" s="2">
        <v>0.14499999999999999</v>
      </c>
      <c r="H132" s="2">
        <v>50.2</v>
      </c>
      <c r="I132" s="2">
        <v>28.1</v>
      </c>
      <c r="J132" s="2">
        <v>21.7</v>
      </c>
      <c r="K132" s="2">
        <v>114.4</v>
      </c>
      <c r="L132" s="2">
        <v>35</v>
      </c>
      <c r="M132" s="2">
        <v>36.799999999999997</v>
      </c>
      <c r="N132" s="2">
        <v>53.8</v>
      </c>
      <c r="O132" s="2">
        <v>0.43</v>
      </c>
      <c r="P132" s="2">
        <v>61.9</v>
      </c>
      <c r="Q132" s="2">
        <v>0.96499999999999997</v>
      </c>
      <c r="R132" s="2">
        <v>5.3</v>
      </c>
      <c r="S132" s="2">
        <v>58.5</v>
      </c>
      <c r="T132" s="2">
        <v>35.9</v>
      </c>
      <c r="U132" s="2">
        <v>0.76900000000000002</v>
      </c>
      <c r="V132" s="2">
        <v>18.2</v>
      </c>
      <c r="W132" s="2">
        <v>31.2</v>
      </c>
      <c r="X132" s="2">
        <v>38.6</v>
      </c>
      <c r="Y132" s="2">
        <v>5.1999999999999998E-2</v>
      </c>
      <c r="Z132" s="2">
        <v>51.7</v>
      </c>
      <c r="AA132" s="2">
        <v>0.14099999999999999</v>
      </c>
      <c r="AB132" s="2">
        <v>0.16400000000000001</v>
      </c>
      <c r="AC132" s="2">
        <v>0.214</v>
      </c>
      <c r="AD132" s="2">
        <v>0.35799999999999998</v>
      </c>
      <c r="AE132" s="2">
        <v>0.71399999999999997</v>
      </c>
      <c r="AF132" s="2">
        <v>30</v>
      </c>
      <c r="AG132" s="2">
        <v>3</v>
      </c>
      <c r="AH132" s="2">
        <v>142</v>
      </c>
    </row>
    <row r="133" spans="1:34" x14ac:dyDescent="0.45">
      <c r="A133" s="80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</row>
    <row r="134" spans="1:34" ht="14.65" thickBot="1" x14ac:dyDescent="0.5">
      <c r="A134" s="80"/>
      <c r="B134" s="50" t="s">
        <v>45</v>
      </c>
      <c r="C134" s="53">
        <v>3</v>
      </c>
      <c r="D134" s="84" t="s">
        <v>2</v>
      </c>
      <c r="E134" s="58">
        <v>1.131</v>
      </c>
      <c r="F134" s="41">
        <v>0.999</v>
      </c>
      <c r="G134" s="41">
        <v>0.13200000000000001</v>
      </c>
      <c r="H134" s="41">
        <v>42.2</v>
      </c>
      <c r="I134" s="41">
        <v>37</v>
      </c>
      <c r="J134" s="41">
        <v>20.8</v>
      </c>
      <c r="K134" s="41">
        <v>116.8</v>
      </c>
      <c r="L134" s="41">
        <v>34.9</v>
      </c>
      <c r="M134" s="41">
        <v>48.1</v>
      </c>
      <c r="N134" s="41">
        <v>53.6</v>
      </c>
      <c r="O134" s="41">
        <v>0.33800000000000002</v>
      </c>
      <c r="P134" s="41">
        <v>70.5</v>
      </c>
      <c r="Q134" s="41">
        <v>0.97099999999999997</v>
      </c>
      <c r="R134" s="41">
        <v>-0.5</v>
      </c>
      <c r="S134" s="41">
        <v>61.8</v>
      </c>
      <c r="T134" s="41">
        <v>24.7</v>
      </c>
      <c r="U134" s="41">
        <v>0.752</v>
      </c>
      <c r="V134" s="41">
        <v>13.8</v>
      </c>
      <c r="W134" s="41">
        <v>33.299999999999997</v>
      </c>
      <c r="X134" s="41">
        <v>39.1</v>
      </c>
      <c r="Y134" s="41">
        <v>3.9E-2</v>
      </c>
      <c r="Z134" s="41">
        <v>47.9</v>
      </c>
      <c r="AA134" s="41">
        <v>7.2999999999999995E-2</v>
      </c>
      <c r="AB134" s="41">
        <v>0.17899999999999999</v>
      </c>
      <c r="AC134" s="41">
        <v>0.14099999999999999</v>
      </c>
      <c r="AD134" s="41">
        <v>0.28100000000000003</v>
      </c>
      <c r="AE134" s="41">
        <v>0.5</v>
      </c>
      <c r="AF134" s="41">
        <v>26</v>
      </c>
      <c r="AG134" s="41">
        <v>9</v>
      </c>
      <c r="AH134" s="41">
        <v>18</v>
      </c>
    </row>
    <row r="135" spans="1:34" ht="14.65" thickBot="1" x14ac:dyDescent="0.5">
      <c r="A135" s="80"/>
      <c r="B135" s="49" t="s">
        <v>2</v>
      </c>
      <c r="C135" s="52">
        <v>6</v>
      </c>
      <c r="D135" s="83"/>
      <c r="E135" s="51">
        <v>1.143</v>
      </c>
      <c r="F135" s="2">
        <v>1</v>
      </c>
      <c r="G135" s="2">
        <v>0.14299999999999999</v>
      </c>
      <c r="H135" s="2">
        <v>45.3</v>
      </c>
      <c r="I135" s="2">
        <v>38.700000000000003</v>
      </c>
      <c r="J135" s="2">
        <v>16</v>
      </c>
      <c r="K135" s="2">
        <v>118.5</v>
      </c>
      <c r="L135" s="2">
        <v>37.1</v>
      </c>
      <c r="M135" s="2">
        <v>48.3</v>
      </c>
      <c r="N135" s="2">
        <v>57.2</v>
      </c>
      <c r="O135" s="2">
        <v>0.30199999999999999</v>
      </c>
      <c r="P135" s="2">
        <v>70.900000000000006</v>
      </c>
      <c r="Q135" s="2">
        <v>0.96199999999999997</v>
      </c>
      <c r="R135" s="2">
        <v>1.3</v>
      </c>
      <c r="S135" s="2">
        <v>63.9</v>
      </c>
      <c r="T135" s="2">
        <v>31.6</v>
      </c>
      <c r="U135" s="2">
        <v>0.75700000000000001</v>
      </c>
      <c r="V135" s="2">
        <v>17.100000000000001</v>
      </c>
      <c r="W135" s="2">
        <v>35.700000000000003</v>
      </c>
      <c r="X135" s="2">
        <v>46.2</v>
      </c>
      <c r="Y135" s="2">
        <v>5.3999999999999999E-2</v>
      </c>
      <c r="Z135" s="2">
        <v>50.6</v>
      </c>
      <c r="AA135" s="2">
        <v>0.1</v>
      </c>
      <c r="AB135" s="2">
        <v>0.188</v>
      </c>
      <c r="AC135" s="2">
        <v>0.16500000000000001</v>
      </c>
      <c r="AD135" s="2">
        <v>0.29499999999999998</v>
      </c>
      <c r="AE135" s="2">
        <v>0.625</v>
      </c>
      <c r="AF135" s="2">
        <v>24</v>
      </c>
      <c r="AG135" s="2">
        <v>9</v>
      </c>
      <c r="AH135" s="2">
        <v>53</v>
      </c>
    </row>
    <row r="136" spans="1:34" x14ac:dyDescent="0.45">
      <c r="A136" s="80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</row>
    <row r="137" spans="1:34" x14ac:dyDescent="0.45">
      <c r="A137" s="80"/>
      <c r="B137" s="51" t="s">
        <v>55</v>
      </c>
      <c r="C137" s="52">
        <v>4</v>
      </c>
      <c r="D137" s="84" t="s">
        <v>55</v>
      </c>
      <c r="E137" s="51">
        <v>1.1499999999999999</v>
      </c>
      <c r="F137" s="2">
        <v>1.0489999999999999</v>
      </c>
      <c r="G137" s="2">
        <v>0.10100000000000001</v>
      </c>
      <c r="H137" s="2">
        <v>49.6</v>
      </c>
      <c r="I137" s="2">
        <v>31.9</v>
      </c>
      <c r="J137" s="2">
        <v>18.5</v>
      </c>
      <c r="K137" s="2">
        <v>118.2</v>
      </c>
      <c r="L137" s="2">
        <v>38.5</v>
      </c>
      <c r="M137" s="2">
        <v>38.1</v>
      </c>
      <c r="N137" s="2">
        <v>56.3</v>
      </c>
      <c r="O137" s="2">
        <v>0.34599999999999997</v>
      </c>
      <c r="P137" s="2">
        <v>67.7</v>
      </c>
      <c r="Q137" s="2">
        <v>0.97</v>
      </c>
      <c r="R137" s="2">
        <v>1.1000000000000001</v>
      </c>
      <c r="S137" s="2">
        <v>60.3</v>
      </c>
      <c r="T137" s="2">
        <v>29.2</v>
      </c>
      <c r="U137" s="2">
        <v>0.71299999999999997</v>
      </c>
      <c r="V137" s="2">
        <v>15.3</v>
      </c>
      <c r="W137" s="2">
        <v>31.2</v>
      </c>
      <c r="X137" s="2">
        <v>42.6</v>
      </c>
      <c r="Y137" s="2">
        <v>2.9000000000000001E-2</v>
      </c>
      <c r="Z137" s="2">
        <v>52</v>
      </c>
      <c r="AA137" s="2">
        <v>9.6000000000000002E-2</v>
      </c>
      <c r="AB137" s="2">
        <v>0.217</v>
      </c>
      <c r="AC137" s="2">
        <v>0.17399999999999999</v>
      </c>
      <c r="AD137" s="2">
        <v>0.31</v>
      </c>
      <c r="AE137" s="2">
        <v>0.57099999999999995</v>
      </c>
      <c r="AF137" s="2">
        <v>22</v>
      </c>
      <c r="AG137" s="2">
        <v>11</v>
      </c>
      <c r="AH137" s="2">
        <v>2</v>
      </c>
    </row>
    <row r="138" spans="1:34" ht="14.65" thickBot="1" x14ac:dyDescent="0.5">
      <c r="A138" s="80"/>
      <c r="B138" s="49" t="s">
        <v>72</v>
      </c>
      <c r="C138" s="52">
        <v>12</v>
      </c>
      <c r="D138" s="83"/>
      <c r="E138" s="51">
        <v>1.1180000000000001</v>
      </c>
      <c r="F138" s="2">
        <v>0.95199999999999996</v>
      </c>
      <c r="G138" s="2">
        <v>0.16600000000000001</v>
      </c>
      <c r="H138" s="2">
        <v>51.7</v>
      </c>
      <c r="I138" s="2">
        <v>29.6</v>
      </c>
      <c r="J138" s="2">
        <v>18.8</v>
      </c>
      <c r="K138" s="2">
        <v>111.7</v>
      </c>
      <c r="L138" s="2">
        <v>35.6</v>
      </c>
      <c r="M138" s="2">
        <v>36.700000000000003</v>
      </c>
      <c r="N138" s="2">
        <v>53.3</v>
      </c>
      <c r="O138" s="2">
        <v>0.35699999999999998</v>
      </c>
      <c r="P138" s="2">
        <v>67.400000000000006</v>
      </c>
      <c r="Q138" s="2">
        <v>0.997</v>
      </c>
      <c r="R138" s="2">
        <v>4.7</v>
      </c>
      <c r="S138" s="2">
        <v>58</v>
      </c>
      <c r="T138" s="2">
        <v>33.799999999999997</v>
      </c>
      <c r="U138" s="2">
        <v>0.70299999999999996</v>
      </c>
      <c r="V138" s="2">
        <v>15.9</v>
      </c>
      <c r="W138" s="2">
        <v>32.4</v>
      </c>
      <c r="X138" s="2">
        <v>46.9</v>
      </c>
      <c r="Y138" s="2">
        <v>6.4000000000000001E-2</v>
      </c>
      <c r="Z138" s="2">
        <v>47.5</v>
      </c>
      <c r="AA138" s="2">
        <v>0.13</v>
      </c>
      <c r="AB138" s="2">
        <v>0.17899999999999999</v>
      </c>
      <c r="AC138" s="2">
        <v>0.21199999999999999</v>
      </c>
      <c r="AD138" s="2">
        <v>0.314</v>
      </c>
      <c r="AE138" s="2">
        <v>0.6</v>
      </c>
      <c r="AF138" s="2">
        <v>27</v>
      </c>
      <c r="AG138" s="2">
        <v>6</v>
      </c>
      <c r="AH138" s="2">
        <v>272</v>
      </c>
    </row>
    <row r="139" spans="1:34" x14ac:dyDescent="0.45">
      <c r="A139" s="80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</row>
    <row r="140" spans="1:34" x14ac:dyDescent="0.45">
      <c r="A140" s="80"/>
      <c r="B140" s="49" t="s">
        <v>43</v>
      </c>
      <c r="C140" s="52">
        <v>4</v>
      </c>
      <c r="D140" s="84" t="s">
        <v>43</v>
      </c>
      <c r="E140" s="51">
        <v>1.1259999999999999</v>
      </c>
      <c r="F140" s="2">
        <v>0.998</v>
      </c>
      <c r="G140" s="2">
        <v>0.128</v>
      </c>
      <c r="H140" s="2">
        <v>53.1</v>
      </c>
      <c r="I140" s="2">
        <v>26.1</v>
      </c>
      <c r="J140" s="2">
        <v>20.8</v>
      </c>
      <c r="K140" s="2">
        <v>115</v>
      </c>
      <c r="L140" s="2">
        <v>32.4</v>
      </c>
      <c r="M140" s="2">
        <v>34.6</v>
      </c>
      <c r="N140" s="2">
        <v>52.9</v>
      </c>
      <c r="O140" s="2">
        <v>0.36599999999999999</v>
      </c>
      <c r="P140" s="2">
        <v>72.599999999999994</v>
      </c>
      <c r="Q140" s="2">
        <v>0.99</v>
      </c>
      <c r="R140" s="2">
        <v>2.1</v>
      </c>
      <c r="S140" s="2">
        <v>58.9</v>
      </c>
      <c r="T140" s="2">
        <v>34.6</v>
      </c>
      <c r="U140" s="2">
        <v>0.748</v>
      </c>
      <c r="V140" s="2">
        <v>15.8</v>
      </c>
      <c r="W140" s="2">
        <v>34</v>
      </c>
      <c r="X140" s="2">
        <v>41.3</v>
      </c>
      <c r="Y140" s="2">
        <v>7.0999999999999994E-2</v>
      </c>
      <c r="Z140" s="2">
        <v>48.6</v>
      </c>
      <c r="AA140" s="2">
        <v>0.104</v>
      </c>
      <c r="AB140" s="2">
        <v>0.184</v>
      </c>
      <c r="AC140" s="2">
        <v>0.158</v>
      </c>
      <c r="AD140" s="2">
        <v>0.29199999999999998</v>
      </c>
      <c r="AE140" s="2">
        <v>0.16700000000000001</v>
      </c>
      <c r="AF140" s="2">
        <v>22</v>
      </c>
      <c r="AG140" s="2">
        <v>12</v>
      </c>
      <c r="AH140" s="2">
        <v>6</v>
      </c>
    </row>
    <row r="141" spans="1:34" ht="14.65" thickBot="1" x14ac:dyDescent="0.5">
      <c r="A141" s="80"/>
      <c r="B141" s="51" t="s">
        <v>41</v>
      </c>
      <c r="C141" s="52">
        <v>5</v>
      </c>
      <c r="D141" s="83"/>
      <c r="E141" s="51">
        <v>1.0740000000000001</v>
      </c>
      <c r="F141" s="2">
        <v>0.999</v>
      </c>
      <c r="G141" s="2">
        <v>7.4999999999999997E-2</v>
      </c>
      <c r="H141" s="2">
        <v>50.5</v>
      </c>
      <c r="I141" s="2">
        <v>30.3</v>
      </c>
      <c r="J141" s="2">
        <v>19.2</v>
      </c>
      <c r="K141" s="2">
        <v>112.4</v>
      </c>
      <c r="L141" s="2">
        <v>34</v>
      </c>
      <c r="M141" s="2">
        <v>38.6</v>
      </c>
      <c r="N141" s="2">
        <v>52.2</v>
      </c>
      <c r="O141" s="2">
        <v>0.33400000000000002</v>
      </c>
      <c r="P141" s="2">
        <v>71</v>
      </c>
      <c r="Q141" s="2">
        <v>0.95599999999999996</v>
      </c>
      <c r="R141" s="2">
        <v>-0.2</v>
      </c>
      <c r="S141" s="2">
        <v>58.4</v>
      </c>
      <c r="T141" s="2">
        <v>27.6</v>
      </c>
      <c r="U141" s="2">
        <v>0.72099999999999997</v>
      </c>
      <c r="V141" s="2">
        <v>15.9</v>
      </c>
      <c r="W141" s="2">
        <v>31.6</v>
      </c>
      <c r="X141" s="2">
        <v>37.700000000000003</v>
      </c>
      <c r="Y141" s="2">
        <v>6.2E-2</v>
      </c>
      <c r="Z141" s="2">
        <v>49</v>
      </c>
      <c r="AA141" s="2">
        <v>0.10100000000000001</v>
      </c>
      <c r="AB141" s="2">
        <v>0.182</v>
      </c>
      <c r="AC141" s="2">
        <v>0.17100000000000001</v>
      </c>
      <c r="AD141" s="2">
        <v>0.27800000000000002</v>
      </c>
      <c r="AE141" s="2">
        <v>0.77800000000000002</v>
      </c>
      <c r="AF141" s="2">
        <v>24</v>
      </c>
      <c r="AG141" s="2">
        <v>9</v>
      </c>
      <c r="AH141" s="2">
        <v>12</v>
      </c>
    </row>
    <row r="142" spans="1:34" x14ac:dyDescent="0.45">
      <c r="A142" s="80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</row>
    <row r="143" spans="1:34" x14ac:dyDescent="0.45">
      <c r="A143" s="80"/>
      <c r="B143" s="49" t="s">
        <v>69</v>
      </c>
      <c r="C143" s="52">
        <v>4</v>
      </c>
      <c r="D143" s="84" t="s">
        <v>17</v>
      </c>
      <c r="E143" s="51">
        <v>1.0580000000000001</v>
      </c>
      <c r="F143" s="2">
        <v>0.96799999999999997</v>
      </c>
      <c r="G143" s="2">
        <v>0.09</v>
      </c>
      <c r="H143" s="2">
        <v>48.9</v>
      </c>
      <c r="I143" s="2">
        <v>28</v>
      </c>
      <c r="J143" s="2">
        <v>23.1</v>
      </c>
      <c r="K143" s="2">
        <v>103.5</v>
      </c>
      <c r="L143" s="2">
        <v>37.4</v>
      </c>
      <c r="M143" s="2">
        <v>41.7</v>
      </c>
      <c r="N143" s="2">
        <v>56</v>
      </c>
      <c r="O143" s="2">
        <v>0.41699999999999998</v>
      </c>
      <c r="P143" s="2">
        <v>70.2</v>
      </c>
      <c r="Q143" s="2">
        <v>1.0189999999999999</v>
      </c>
      <c r="R143" s="2">
        <v>6.6</v>
      </c>
      <c r="S143" s="2">
        <v>56.7</v>
      </c>
      <c r="T143" s="2">
        <v>40.200000000000003</v>
      </c>
      <c r="U143" s="2">
        <v>0.745</v>
      </c>
      <c r="V143" s="2">
        <v>17.600000000000001</v>
      </c>
      <c r="W143" s="2">
        <v>33.299999999999997</v>
      </c>
      <c r="X143" s="2">
        <v>46.2</v>
      </c>
      <c r="Y143" s="2">
        <v>7.2999999999999995E-2</v>
      </c>
      <c r="Z143" s="2">
        <v>48.2</v>
      </c>
      <c r="AA143" s="2">
        <v>0.107</v>
      </c>
      <c r="AB143" s="2">
        <v>0.20699999999999999</v>
      </c>
      <c r="AC143" s="2">
        <v>0.188</v>
      </c>
      <c r="AD143" s="2">
        <v>0.35299999999999998</v>
      </c>
      <c r="AE143" s="2">
        <v>0.66700000000000004</v>
      </c>
      <c r="AF143" s="2">
        <v>22</v>
      </c>
      <c r="AG143" s="2">
        <v>10</v>
      </c>
      <c r="AH143" s="2">
        <v>8</v>
      </c>
    </row>
    <row r="144" spans="1:34" ht="14.65" thickBot="1" x14ac:dyDescent="0.5">
      <c r="A144" s="80"/>
      <c r="B144" s="50" t="s">
        <v>17</v>
      </c>
      <c r="C144" s="53">
        <v>5</v>
      </c>
      <c r="D144" s="83"/>
      <c r="E144" s="58">
        <v>1.0720000000000001</v>
      </c>
      <c r="F144" s="41">
        <v>0.97499999999999998</v>
      </c>
      <c r="G144" s="41">
        <v>9.7000000000000003E-2</v>
      </c>
      <c r="H144" s="41">
        <v>49.2</v>
      </c>
      <c r="I144" s="41">
        <v>31.5</v>
      </c>
      <c r="J144" s="41">
        <v>19.3</v>
      </c>
      <c r="K144" s="41">
        <v>114.8</v>
      </c>
      <c r="L144" s="41">
        <v>33.4</v>
      </c>
      <c r="M144" s="41">
        <v>42.5</v>
      </c>
      <c r="N144" s="41">
        <v>54.5</v>
      </c>
      <c r="O144" s="41">
        <v>0.35</v>
      </c>
      <c r="P144" s="41">
        <v>73</v>
      </c>
      <c r="Q144" s="41">
        <v>0.93799999999999994</v>
      </c>
      <c r="R144" s="41">
        <v>-3</v>
      </c>
      <c r="S144" s="41">
        <v>61.8</v>
      </c>
      <c r="T144" s="41">
        <v>31.2</v>
      </c>
      <c r="U144" s="41">
        <v>0.72499999999999998</v>
      </c>
      <c r="V144" s="41">
        <v>19.3</v>
      </c>
      <c r="W144" s="41">
        <v>30.8</v>
      </c>
      <c r="X144" s="41">
        <v>39.1</v>
      </c>
      <c r="Y144" s="41">
        <v>5.8000000000000003E-2</v>
      </c>
      <c r="Z144" s="41">
        <v>46.3</v>
      </c>
      <c r="AA144" s="41">
        <v>7.1999999999999995E-2</v>
      </c>
      <c r="AB144" s="41">
        <v>0.155</v>
      </c>
      <c r="AC144" s="41">
        <v>0.153</v>
      </c>
      <c r="AD144" s="41">
        <v>0.28499999999999998</v>
      </c>
      <c r="AE144" s="41">
        <v>0.75</v>
      </c>
      <c r="AF144" s="41">
        <v>25</v>
      </c>
      <c r="AG144" s="41">
        <v>9</v>
      </c>
      <c r="AH144" s="41">
        <v>7</v>
      </c>
    </row>
    <row r="145" spans="1:35" x14ac:dyDescent="0.45">
      <c r="A145" s="80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</row>
    <row r="146" spans="1:35" ht="14.65" thickBot="1" x14ac:dyDescent="0.5">
      <c r="A146" s="80"/>
      <c r="B146" s="50" t="s">
        <v>30</v>
      </c>
      <c r="C146" s="53">
        <v>4</v>
      </c>
      <c r="D146" s="84" t="s">
        <v>30</v>
      </c>
      <c r="E146" s="58">
        <v>1.127</v>
      </c>
      <c r="F146" s="41">
        <v>0.92400000000000004</v>
      </c>
      <c r="G146" s="41">
        <v>0.20300000000000001</v>
      </c>
      <c r="H146" s="41">
        <v>51.2</v>
      </c>
      <c r="I146" s="41">
        <v>30</v>
      </c>
      <c r="J146" s="41">
        <v>18.8</v>
      </c>
      <c r="K146" s="41">
        <v>114</v>
      </c>
      <c r="L146" s="41">
        <v>37.200000000000003</v>
      </c>
      <c r="M146" s="41">
        <v>35.5</v>
      </c>
      <c r="N146" s="41">
        <v>53.8</v>
      </c>
      <c r="O146" s="41">
        <v>0.32900000000000001</v>
      </c>
      <c r="P146" s="41">
        <v>72.5</v>
      </c>
      <c r="Q146" s="41">
        <v>0.98299999999999998</v>
      </c>
      <c r="R146" s="41">
        <v>4.3</v>
      </c>
      <c r="S146" s="41">
        <v>56</v>
      </c>
      <c r="T146" s="41">
        <v>28.9</v>
      </c>
      <c r="U146" s="41">
        <v>0.73799999999999999</v>
      </c>
      <c r="V146" s="41">
        <v>14.2</v>
      </c>
      <c r="W146" s="41">
        <v>30.6</v>
      </c>
      <c r="X146" s="41">
        <v>36.200000000000003</v>
      </c>
      <c r="Y146" s="41">
        <v>7.4999999999999997E-2</v>
      </c>
      <c r="Z146" s="41">
        <v>47</v>
      </c>
      <c r="AA146" s="41">
        <v>0.109</v>
      </c>
      <c r="AB146" s="41">
        <v>0.16700000000000001</v>
      </c>
      <c r="AC146" s="41">
        <v>0.19700000000000001</v>
      </c>
      <c r="AD146" s="41">
        <v>0.25900000000000001</v>
      </c>
      <c r="AE146" s="41">
        <v>0.36399999999999999</v>
      </c>
      <c r="AF146" s="41">
        <v>25</v>
      </c>
      <c r="AG146" s="41">
        <v>8</v>
      </c>
      <c r="AH146" s="41">
        <v>61</v>
      </c>
    </row>
    <row r="147" spans="1:35" ht="14.65" thickBot="1" x14ac:dyDescent="0.5">
      <c r="A147" s="81"/>
      <c r="B147" s="51" t="s">
        <v>29</v>
      </c>
      <c r="C147" s="52">
        <v>12</v>
      </c>
      <c r="D147" s="83"/>
      <c r="E147" s="51">
        <v>1.101</v>
      </c>
      <c r="F147" s="2">
        <v>0.98099999999999998</v>
      </c>
      <c r="G147" s="2">
        <v>0.12</v>
      </c>
      <c r="H147" s="2">
        <v>47.5</v>
      </c>
      <c r="I147" s="2">
        <v>34.4</v>
      </c>
      <c r="J147" s="2">
        <v>18.100000000000001</v>
      </c>
      <c r="K147" s="2">
        <v>117.9</v>
      </c>
      <c r="L147" s="2">
        <v>36.6</v>
      </c>
      <c r="M147" s="2">
        <v>42.8</v>
      </c>
      <c r="N147" s="2">
        <v>55.8</v>
      </c>
      <c r="O147" s="2">
        <v>0.318</v>
      </c>
      <c r="P147" s="2">
        <v>68.400000000000006</v>
      </c>
      <c r="Q147" s="2">
        <v>0.93700000000000006</v>
      </c>
      <c r="R147" s="2">
        <v>-1</v>
      </c>
      <c r="S147" s="2">
        <v>61.6</v>
      </c>
      <c r="T147" s="2">
        <v>24.7</v>
      </c>
      <c r="U147" s="2">
        <v>0.75700000000000001</v>
      </c>
      <c r="V147" s="2">
        <v>17</v>
      </c>
      <c r="W147" s="2">
        <v>33.200000000000003</v>
      </c>
      <c r="X147" s="2">
        <v>38</v>
      </c>
      <c r="Y147" s="2">
        <v>4.9000000000000002E-2</v>
      </c>
      <c r="Z147" s="2">
        <v>48.5</v>
      </c>
      <c r="AA147" s="2">
        <v>7.4999999999999997E-2</v>
      </c>
      <c r="AB147" s="2">
        <v>0.16200000000000001</v>
      </c>
      <c r="AC147" s="2">
        <v>0.16400000000000001</v>
      </c>
      <c r="AD147" s="2">
        <v>0.33600000000000002</v>
      </c>
      <c r="AE147" s="2">
        <v>0.83299999999999996</v>
      </c>
      <c r="AF147" s="2">
        <v>25</v>
      </c>
      <c r="AG147" s="2">
        <v>9</v>
      </c>
      <c r="AH147" s="2">
        <v>83</v>
      </c>
    </row>
    <row r="148" spans="1:35" x14ac:dyDescent="0.45">
      <c r="A148" s="76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</row>
    <row r="149" spans="1:35" ht="14.65" thickBot="1" x14ac:dyDescent="0.5">
      <c r="A149" s="76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</row>
    <row r="150" spans="1:35" ht="15" customHeight="1" x14ac:dyDescent="0.45">
      <c r="A150" s="70" t="s">
        <v>76</v>
      </c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2"/>
    </row>
    <row r="151" spans="1:35" ht="15.75" customHeight="1" thickBot="1" x14ac:dyDescent="0.5">
      <c r="A151" s="73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5"/>
    </row>
    <row r="152" spans="1:35" x14ac:dyDescent="0.45">
      <c r="A152" s="90" t="s">
        <v>76</v>
      </c>
      <c r="B152" s="51" t="s">
        <v>14</v>
      </c>
      <c r="C152" s="52">
        <v>1</v>
      </c>
      <c r="D152" s="82" t="s">
        <v>14</v>
      </c>
      <c r="E152" s="54">
        <v>1.1819999999999999</v>
      </c>
      <c r="F152" s="2">
        <v>0.98099999999999998</v>
      </c>
      <c r="G152" s="2">
        <v>0.20100000000000001</v>
      </c>
      <c r="H152" s="2">
        <v>48.8</v>
      </c>
      <c r="I152" s="2">
        <v>32.799999999999997</v>
      </c>
      <c r="J152" s="2">
        <v>18.3</v>
      </c>
      <c r="K152" s="2">
        <v>117.1</v>
      </c>
      <c r="L152" s="2">
        <v>36.799999999999997</v>
      </c>
      <c r="M152" s="2">
        <v>40.6</v>
      </c>
      <c r="N152" s="2">
        <v>55.7</v>
      </c>
      <c r="O152" s="2">
        <v>0.33500000000000002</v>
      </c>
      <c r="P152" s="2">
        <v>70.900000000000006</v>
      </c>
      <c r="Q152" s="2">
        <v>1.014</v>
      </c>
      <c r="R152" s="2">
        <v>4.3</v>
      </c>
      <c r="S152" s="2">
        <v>60.5</v>
      </c>
      <c r="T152" s="2">
        <v>33.299999999999997</v>
      </c>
      <c r="U152" s="2">
        <v>0.73199999999999998</v>
      </c>
      <c r="V152" s="2">
        <v>13</v>
      </c>
      <c r="W152" s="2">
        <v>29.8</v>
      </c>
      <c r="X152" s="2">
        <v>35.299999999999997</v>
      </c>
      <c r="Y152" s="2">
        <v>0.10199999999999999</v>
      </c>
      <c r="Z152" s="2">
        <v>46</v>
      </c>
      <c r="AA152" s="2">
        <v>9.5000000000000001E-2</v>
      </c>
      <c r="AB152" s="2">
        <v>0.13500000000000001</v>
      </c>
      <c r="AC152" s="2">
        <v>0.16800000000000001</v>
      </c>
      <c r="AD152" s="2">
        <v>0.39200000000000002</v>
      </c>
      <c r="AE152" s="2">
        <v>0.77800000000000002</v>
      </c>
      <c r="AF152" s="2">
        <v>28</v>
      </c>
      <c r="AG152" s="2">
        <v>5</v>
      </c>
      <c r="AH152" s="2">
        <v>3</v>
      </c>
      <c r="AI152" s="39"/>
    </row>
    <row r="153" spans="1:35" ht="14.65" thickBot="1" x14ac:dyDescent="0.5">
      <c r="A153" s="80"/>
      <c r="B153" s="50" t="s">
        <v>17</v>
      </c>
      <c r="C153" s="53">
        <v>5</v>
      </c>
      <c r="D153" s="83"/>
      <c r="E153" s="55">
        <v>1.0720000000000001</v>
      </c>
      <c r="F153" s="41">
        <v>0.97499999999999998</v>
      </c>
      <c r="G153" s="41">
        <v>9.7000000000000003E-2</v>
      </c>
      <c r="H153" s="41">
        <v>49.2</v>
      </c>
      <c r="I153" s="41">
        <v>31.5</v>
      </c>
      <c r="J153" s="41">
        <v>19.3</v>
      </c>
      <c r="K153" s="41">
        <v>114.8</v>
      </c>
      <c r="L153" s="41">
        <v>33.4</v>
      </c>
      <c r="M153" s="41">
        <v>42.5</v>
      </c>
      <c r="N153" s="41">
        <v>54.5</v>
      </c>
      <c r="O153" s="41">
        <v>0.35</v>
      </c>
      <c r="P153" s="41">
        <v>73</v>
      </c>
      <c r="Q153" s="41">
        <v>0.93799999999999994</v>
      </c>
      <c r="R153" s="41">
        <v>-3</v>
      </c>
      <c r="S153" s="41">
        <v>61.8</v>
      </c>
      <c r="T153" s="41">
        <v>31.2</v>
      </c>
      <c r="U153" s="41">
        <v>0.72499999999999998</v>
      </c>
      <c r="V153" s="41">
        <v>19.3</v>
      </c>
      <c r="W153" s="41">
        <v>30.8</v>
      </c>
      <c r="X153" s="41">
        <v>39.1</v>
      </c>
      <c r="Y153" s="41">
        <v>5.8000000000000003E-2</v>
      </c>
      <c r="Z153" s="41">
        <v>46.3</v>
      </c>
      <c r="AA153" s="41">
        <v>7.1999999999999995E-2</v>
      </c>
      <c r="AB153" s="41">
        <v>0.155</v>
      </c>
      <c r="AC153" s="41">
        <v>0.153</v>
      </c>
      <c r="AD153" s="41">
        <v>0.28499999999999998</v>
      </c>
      <c r="AE153" s="41">
        <v>0.75</v>
      </c>
      <c r="AF153" s="41">
        <v>25</v>
      </c>
      <c r="AG153" s="41">
        <v>9</v>
      </c>
      <c r="AH153" s="41">
        <v>7</v>
      </c>
      <c r="AI153" s="38"/>
    </row>
    <row r="154" spans="1:35" ht="14.65" thickBot="1" x14ac:dyDescent="0.5">
      <c r="A154" s="80"/>
      <c r="B154" s="85"/>
      <c r="C154" s="85"/>
      <c r="D154" s="91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</row>
    <row r="155" spans="1:35" x14ac:dyDescent="0.45">
      <c r="A155" s="80"/>
      <c r="B155" s="49" t="s">
        <v>26</v>
      </c>
      <c r="C155" s="42">
        <v>1</v>
      </c>
      <c r="D155" s="82" t="s">
        <v>26</v>
      </c>
      <c r="E155" s="51">
        <v>1.1779999999999999</v>
      </c>
      <c r="F155" s="2">
        <v>0.95499999999999996</v>
      </c>
      <c r="G155" s="2">
        <v>0.27100000000000002</v>
      </c>
      <c r="H155" s="2">
        <v>47</v>
      </c>
      <c r="I155" s="2">
        <v>34.799999999999997</v>
      </c>
      <c r="J155" s="2">
        <v>18.100000000000001</v>
      </c>
      <c r="K155" s="2">
        <v>116</v>
      </c>
      <c r="L155" s="2">
        <v>35.5</v>
      </c>
      <c r="M155" s="2">
        <v>43.6</v>
      </c>
      <c r="N155" s="2">
        <v>55</v>
      </c>
      <c r="O155" s="2">
        <v>0.32600000000000001</v>
      </c>
      <c r="P155" s="2">
        <v>72.5</v>
      </c>
      <c r="Q155" s="2">
        <v>1.022</v>
      </c>
      <c r="R155" s="2">
        <v>3.7</v>
      </c>
      <c r="S155" s="2">
        <v>61.6</v>
      </c>
      <c r="T155" s="2">
        <v>36.9</v>
      </c>
      <c r="U155" s="2">
        <v>0.73099999999999998</v>
      </c>
      <c r="V155" s="2">
        <v>14.7</v>
      </c>
      <c r="W155" s="2">
        <v>29.4</v>
      </c>
      <c r="X155" s="2">
        <v>37.200000000000003</v>
      </c>
      <c r="Y155" s="2">
        <v>7.2999999999999995E-2</v>
      </c>
      <c r="Z155" s="2">
        <v>45.3</v>
      </c>
      <c r="AA155" s="2">
        <v>0.104</v>
      </c>
      <c r="AB155" s="2">
        <v>0.155</v>
      </c>
      <c r="AC155" s="2">
        <v>0.16400000000000001</v>
      </c>
      <c r="AD155" s="2">
        <v>0.33</v>
      </c>
      <c r="AE155" s="2">
        <v>0.5</v>
      </c>
      <c r="AF155" s="2">
        <v>30</v>
      </c>
      <c r="AG155" s="2">
        <v>4</v>
      </c>
      <c r="AH155" s="2">
        <v>32</v>
      </c>
    </row>
    <row r="156" spans="1:35" ht="14.65" thickBot="1" x14ac:dyDescent="0.5">
      <c r="A156" s="80"/>
      <c r="B156" s="49" t="s">
        <v>30</v>
      </c>
      <c r="C156" s="42">
        <v>4</v>
      </c>
      <c r="D156" s="83"/>
      <c r="E156" s="58">
        <v>1.127</v>
      </c>
      <c r="F156" s="41">
        <v>0.92400000000000004</v>
      </c>
      <c r="G156" s="41">
        <v>0.20300000000000001</v>
      </c>
      <c r="H156" s="41">
        <v>51.2</v>
      </c>
      <c r="I156" s="41">
        <v>30</v>
      </c>
      <c r="J156" s="41">
        <v>18.8</v>
      </c>
      <c r="K156" s="41">
        <v>114</v>
      </c>
      <c r="L156" s="41">
        <v>37.200000000000003</v>
      </c>
      <c r="M156" s="41">
        <v>35.5</v>
      </c>
      <c r="N156" s="41">
        <v>53.8</v>
      </c>
      <c r="O156" s="41">
        <v>0.32900000000000001</v>
      </c>
      <c r="P156" s="41">
        <v>72.5</v>
      </c>
      <c r="Q156" s="41">
        <v>0.98299999999999998</v>
      </c>
      <c r="R156" s="41">
        <v>4.3</v>
      </c>
      <c r="S156" s="41">
        <v>56</v>
      </c>
      <c r="T156" s="41">
        <v>28.9</v>
      </c>
      <c r="U156" s="41">
        <v>0.73799999999999999</v>
      </c>
      <c r="V156" s="41">
        <v>14.2</v>
      </c>
      <c r="W156" s="41">
        <v>30.6</v>
      </c>
      <c r="X156" s="41">
        <v>36.200000000000003</v>
      </c>
      <c r="Y156" s="41">
        <v>7.4999999999999997E-2</v>
      </c>
      <c r="Z156" s="41">
        <v>47</v>
      </c>
      <c r="AA156" s="41">
        <v>0.109</v>
      </c>
      <c r="AB156" s="41">
        <v>0.16700000000000001</v>
      </c>
      <c r="AC156" s="41">
        <v>0.19700000000000001</v>
      </c>
      <c r="AD156" s="41">
        <v>0.25900000000000001</v>
      </c>
      <c r="AE156" s="41">
        <v>0.36399999999999999</v>
      </c>
      <c r="AF156" s="41">
        <v>25</v>
      </c>
      <c r="AG156" s="41">
        <v>8</v>
      </c>
      <c r="AH156" s="41">
        <v>61</v>
      </c>
    </row>
    <row r="157" spans="1:35" ht="14.65" thickBot="1" x14ac:dyDescent="0.5">
      <c r="A157" s="80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</row>
    <row r="158" spans="1:35" x14ac:dyDescent="0.45">
      <c r="A158" s="80"/>
      <c r="B158" s="49" t="s">
        <v>39</v>
      </c>
      <c r="C158" s="42">
        <v>1</v>
      </c>
      <c r="D158" s="82" t="s">
        <v>39</v>
      </c>
      <c r="E158" s="49">
        <v>1.2110000000000001</v>
      </c>
      <c r="F158" s="1">
        <v>0.90700000000000003</v>
      </c>
      <c r="G158" s="1">
        <v>0.30399999999999999</v>
      </c>
      <c r="H158" s="1">
        <v>45.1</v>
      </c>
      <c r="I158" s="1">
        <v>36.9</v>
      </c>
      <c r="J158" s="1">
        <v>18</v>
      </c>
      <c r="K158" s="1">
        <v>123</v>
      </c>
      <c r="L158" s="1">
        <v>37.700000000000003</v>
      </c>
      <c r="M158" s="1">
        <v>45.4</v>
      </c>
      <c r="N158" s="1">
        <v>57.4</v>
      </c>
      <c r="O158" s="1">
        <v>0.32100000000000001</v>
      </c>
      <c r="P158" s="1">
        <v>68.3</v>
      </c>
      <c r="Q158" s="1">
        <v>1.004</v>
      </c>
      <c r="R158" s="1">
        <v>3.8</v>
      </c>
      <c r="S158" s="1">
        <v>64.400000000000006</v>
      </c>
      <c r="T158" s="1">
        <v>34.1</v>
      </c>
      <c r="U158" s="1">
        <v>0.76300000000000001</v>
      </c>
      <c r="V158" s="1">
        <v>14</v>
      </c>
      <c r="W158" s="1">
        <v>31.1</v>
      </c>
      <c r="X158" s="1">
        <v>38.299999999999997</v>
      </c>
      <c r="Y158" s="1">
        <v>6.7000000000000004E-2</v>
      </c>
      <c r="Z158" s="1">
        <v>44.5</v>
      </c>
      <c r="AA158" s="1">
        <v>9.9000000000000005E-2</v>
      </c>
      <c r="AB158" s="1">
        <v>0.16600000000000001</v>
      </c>
      <c r="AC158" s="1">
        <v>0.16700000000000001</v>
      </c>
      <c r="AD158" s="1">
        <v>0.254</v>
      </c>
      <c r="AE158" s="1">
        <v>0.33300000000000002</v>
      </c>
      <c r="AF158" s="1">
        <v>31</v>
      </c>
      <c r="AG158" s="1">
        <v>3</v>
      </c>
      <c r="AH158" s="1">
        <v>37</v>
      </c>
    </row>
    <row r="159" spans="1:35" ht="14.65" thickBot="1" x14ac:dyDescent="0.5">
      <c r="A159" s="80"/>
      <c r="B159" s="49" t="s">
        <v>43</v>
      </c>
      <c r="C159" s="42">
        <v>4</v>
      </c>
      <c r="D159" s="83"/>
      <c r="E159" s="51">
        <v>1.1259999999999999</v>
      </c>
      <c r="F159" s="2">
        <v>0.998</v>
      </c>
      <c r="G159" s="2">
        <v>0.128</v>
      </c>
      <c r="H159" s="2">
        <v>53.1</v>
      </c>
      <c r="I159" s="2">
        <v>26.1</v>
      </c>
      <c r="J159" s="2">
        <v>20.8</v>
      </c>
      <c r="K159" s="2">
        <v>115</v>
      </c>
      <c r="L159" s="2">
        <v>32.4</v>
      </c>
      <c r="M159" s="2">
        <v>34.6</v>
      </c>
      <c r="N159" s="2">
        <v>52.9</v>
      </c>
      <c r="O159" s="2">
        <v>0.36599999999999999</v>
      </c>
      <c r="P159" s="2">
        <v>72.599999999999994</v>
      </c>
      <c r="Q159" s="2">
        <v>0.99</v>
      </c>
      <c r="R159" s="2">
        <v>2.1</v>
      </c>
      <c r="S159" s="2">
        <v>58.9</v>
      </c>
      <c r="T159" s="2">
        <v>34.6</v>
      </c>
      <c r="U159" s="2">
        <v>0.748</v>
      </c>
      <c r="V159" s="2">
        <v>15.8</v>
      </c>
      <c r="W159" s="2">
        <v>34</v>
      </c>
      <c r="X159" s="2">
        <v>41.3</v>
      </c>
      <c r="Y159" s="2">
        <v>7.0999999999999994E-2</v>
      </c>
      <c r="Z159" s="2">
        <v>48.6</v>
      </c>
      <c r="AA159" s="2">
        <v>0.104</v>
      </c>
      <c r="AB159" s="2">
        <v>0.184</v>
      </c>
      <c r="AC159" s="2">
        <v>0.158</v>
      </c>
      <c r="AD159" s="2">
        <v>0.29199999999999998</v>
      </c>
      <c r="AE159" s="2">
        <v>0.16700000000000001</v>
      </c>
      <c r="AF159" s="2">
        <v>22</v>
      </c>
      <c r="AG159" s="2">
        <v>12</v>
      </c>
      <c r="AH159" s="2">
        <v>6</v>
      </c>
    </row>
    <row r="160" spans="1:35" ht="14.65" thickBot="1" x14ac:dyDescent="0.5">
      <c r="A160" s="80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</row>
    <row r="161" spans="1:34" x14ac:dyDescent="0.45">
      <c r="A161" s="80"/>
      <c r="B161" s="49" t="s">
        <v>51</v>
      </c>
      <c r="C161" s="42">
        <v>1</v>
      </c>
      <c r="D161" s="82" t="s">
        <v>51</v>
      </c>
      <c r="E161" s="51">
        <v>1.131</v>
      </c>
      <c r="F161" s="2">
        <v>0.89100000000000001</v>
      </c>
      <c r="G161" s="2">
        <v>0.24</v>
      </c>
      <c r="H161" s="2">
        <v>50.7</v>
      </c>
      <c r="I161" s="2">
        <v>32.700000000000003</v>
      </c>
      <c r="J161" s="2">
        <v>16.600000000000001</v>
      </c>
      <c r="K161" s="2">
        <v>111.2</v>
      </c>
      <c r="L161" s="2">
        <v>39.799999999999997</v>
      </c>
      <c r="M161" s="2">
        <v>34.5</v>
      </c>
      <c r="N161" s="2">
        <v>52.7</v>
      </c>
      <c r="O161" s="2">
        <v>0.28199999999999997</v>
      </c>
      <c r="P161" s="2">
        <v>65.599999999999994</v>
      </c>
      <c r="Q161" s="2">
        <v>1.026</v>
      </c>
      <c r="R161" s="2">
        <v>8.1999999999999993</v>
      </c>
      <c r="S161" s="2">
        <v>52.3</v>
      </c>
      <c r="T161" s="2">
        <v>35.700000000000003</v>
      </c>
      <c r="U161" s="2">
        <v>0.753</v>
      </c>
      <c r="V161" s="2">
        <v>14.2</v>
      </c>
      <c r="W161" s="2">
        <v>30.2</v>
      </c>
      <c r="X161" s="2">
        <v>43.4</v>
      </c>
      <c r="Y161" s="2">
        <v>0.09</v>
      </c>
      <c r="Z161" s="2">
        <v>44.9</v>
      </c>
      <c r="AA161" s="2">
        <v>0.122</v>
      </c>
      <c r="AB161" s="2">
        <v>0.16800000000000001</v>
      </c>
      <c r="AC161" s="2">
        <v>0.20899999999999999</v>
      </c>
      <c r="AD161" s="2">
        <v>0.34100000000000003</v>
      </c>
      <c r="AE161" s="2">
        <v>0.42899999999999999</v>
      </c>
      <c r="AF161" s="2">
        <v>30</v>
      </c>
      <c r="AG161" s="2">
        <v>4</v>
      </c>
      <c r="AH161" s="2">
        <v>9</v>
      </c>
    </row>
    <row r="162" spans="1:34" ht="14.65" thickBot="1" x14ac:dyDescent="0.5">
      <c r="A162" s="80"/>
      <c r="B162" s="49" t="s">
        <v>55</v>
      </c>
      <c r="C162" s="42">
        <v>4</v>
      </c>
      <c r="D162" s="83"/>
      <c r="E162" s="51">
        <v>1.1499999999999999</v>
      </c>
      <c r="F162" s="2">
        <v>1.0489999999999999</v>
      </c>
      <c r="G162" s="2">
        <v>0.10100000000000001</v>
      </c>
      <c r="H162" s="2">
        <v>49.6</v>
      </c>
      <c r="I162" s="2">
        <v>31.9</v>
      </c>
      <c r="J162" s="2">
        <v>18.5</v>
      </c>
      <c r="K162" s="2">
        <v>118.2</v>
      </c>
      <c r="L162" s="2">
        <v>38.5</v>
      </c>
      <c r="M162" s="2">
        <v>38.1</v>
      </c>
      <c r="N162" s="2">
        <v>56.3</v>
      </c>
      <c r="O162" s="2">
        <v>0.34599999999999997</v>
      </c>
      <c r="P162" s="2">
        <v>67.7</v>
      </c>
      <c r="Q162" s="2">
        <v>0.97</v>
      </c>
      <c r="R162" s="2">
        <v>1.1000000000000001</v>
      </c>
      <c r="S162" s="2">
        <v>60.3</v>
      </c>
      <c r="T162" s="2">
        <v>29.2</v>
      </c>
      <c r="U162" s="2">
        <v>0.71299999999999997</v>
      </c>
      <c r="V162" s="2">
        <v>15.3</v>
      </c>
      <c r="W162" s="2">
        <v>31.2</v>
      </c>
      <c r="X162" s="2">
        <v>42.6</v>
      </c>
      <c r="Y162" s="2">
        <v>2.9000000000000001E-2</v>
      </c>
      <c r="Z162" s="2">
        <v>52</v>
      </c>
      <c r="AA162" s="2">
        <v>9.6000000000000002E-2</v>
      </c>
      <c r="AB162" s="2">
        <v>0.217</v>
      </c>
      <c r="AC162" s="2">
        <v>0.17399999999999999</v>
      </c>
      <c r="AD162" s="2">
        <v>0.31</v>
      </c>
      <c r="AE162" s="2">
        <v>0.57099999999999995</v>
      </c>
      <c r="AF162" s="2">
        <v>22</v>
      </c>
      <c r="AG162" s="2">
        <v>11</v>
      </c>
      <c r="AH162" s="2">
        <v>2</v>
      </c>
    </row>
    <row r="163" spans="1:34" ht="14.65" thickBot="1" x14ac:dyDescent="0.5">
      <c r="A163" s="80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</row>
    <row r="164" spans="1:34" x14ac:dyDescent="0.45">
      <c r="A164" s="80"/>
      <c r="B164" s="49" t="s">
        <v>49</v>
      </c>
      <c r="C164" s="42">
        <v>2</v>
      </c>
      <c r="D164" s="82" t="s">
        <v>49</v>
      </c>
      <c r="E164" s="51">
        <v>1.1559999999999999</v>
      </c>
      <c r="F164" s="2">
        <v>1.0329999999999999</v>
      </c>
      <c r="G164" s="2">
        <v>0.123</v>
      </c>
      <c r="H164" s="2">
        <v>45.1</v>
      </c>
      <c r="I164" s="2">
        <v>34.799999999999997</v>
      </c>
      <c r="J164" s="2">
        <v>20.100000000000001</v>
      </c>
      <c r="K164" s="2">
        <v>120</v>
      </c>
      <c r="L164" s="2">
        <v>35</v>
      </c>
      <c r="M164" s="2">
        <v>46.2</v>
      </c>
      <c r="N164" s="2">
        <v>56.4</v>
      </c>
      <c r="O164" s="2">
        <v>0.40100000000000002</v>
      </c>
      <c r="P164" s="2">
        <v>78.8</v>
      </c>
      <c r="Q164" s="2">
        <v>0.97399999999999998</v>
      </c>
      <c r="R164" s="2">
        <v>-2.4</v>
      </c>
      <c r="S164" s="2">
        <v>68.5</v>
      </c>
      <c r="T164" s="2">
        <v>32.700000000000003</v>
      </c>
      <c r="U164" s="2">
        <v>0.73099999999999998</v>
      </c>
      <c r="V164" s="2">
        <v>16.2</v>
      </c>
      <c r="W164" s="2">
        <v>30.4</v>
      </c>
      <c r="X164" s="2">
        <v>34.6</v>
      </c>
      <c r="Y164" s="2">
        <v>6.6000000000000003E-2</v>
      </c>
      <c r="Z164" s="2">
        <v>47.9</v>
      </c>
      <c r="AA164" s="2">
        <v>7.6999999999999999E-2</v>
      </c>
      <c r="AB164" s="2">
        <v>0.16300000000000001</v>
      </c>
      <c r="AC164" s="2">
        <v>0.13</v>
      </c>
      <c r="AD164" s="2">
        <v>0.33900000000000002</v>
      </c>
      <c r="AE164" s="2">
        <v>0.66700000000000004</v>
      </c>
      <c r="AF164" s="2">
        <v>25</v>
      </c>
      <c r="AG164" s="2">
        <v>8</v>
      </c>
      <c r="AH164" s="2">
        <v>1</v>
      </c>
    </row>
    <row r="165" spans="1:34" ht="14.65" thickBot="1" x14ac:dyDescent="0.5">
      <c r="A165" s="80"/>
      <c r="B165" s="49" t="s">
        <v>2</v>
      </c>
      <c r="C165" s="42">
        <v>6</v>
      </c>
      <c r="D165" s="83"/>
      <c r="E165" s="51">
        <v>1.143</v>
      </c>
      <c r="F165" s="2">
        <v>1</v>
      </c>
      <c r="G165" s="2">
        <v>0.14299999999999999</v>
      </c>
      <c r="H165" s="2">
        <v>45.3</v>
      </c>
      <c r="I165" s="2">
        <v>38.700000000000003</v>
      </c>
      <c r="J165" s="2">
        <v>16</v>
      </c>
      <c r="K165" s="2">
        <v>118.5</v>
      </c>
      <c r="L165" s="2">
        <v>37.1</v>
      </c>
      <c r="M165" s="2">
        <v>48.3</v>
      </c>
      <c r="N165" s="2">
        <v>57.2</v>
      </c>
      <c r="O165" s="2">
        <v>0.30199999999999999</v>
      </c>
      <c r="P165" s="2">
        <v>70.900000000000006</v>
      </c>
      <c r="Q165" s="2">
        <v>0.96199999999999997</v>
      </c>
      <c r="R165" s="2">
        <v>1.3</v>
      </c>
      <c r="S165" s="2">
        <v>63.9</v>
      </c>
      <c r="T165" s="2">
        <v>31.6</v>
      </c>
      <c r="U165" s="2">
        <v>0.75700000000000001</v>
      </c>
      <c r="V165" s="2">
        <v>17.100000000000001</v>
      </c>
      <c r="W165" s="2">
        <v>35.700000000000003</v>
      </c>
      <c r="X165" s="2">
        <v>46.2</v>
      </c>
      <c r="Y165" s="2">
        <v>5.3999999999999999E-2</v>
      </c>
      <c r="Z165" s="2">
        <v>50.6</v>
      </c>
      <c r="AA165" s="2">
        <v>0.1</v>
      </c>
      <c r="AB165" s="2">
        <v>0.188</v>
      </c>
      <c r="AC165" s="2">
        <v>0.16500000000000001</v>
      </c>
      <c r="AD165" s="2">
        <v>0.29499999999999998</v>
      </c>
      <c r="AE165" s="2">
        <v>0.625</v>
      </c>
      <c r="AF165" s="2">
        <v>24</v>
      </c>
      <c r="AG165" s="2">
        <v>9</v>
      </c>
      <c r="AH165" s="2">
        <v>53</v>
      </c>
    </row>
    <row r="166" spans="1:34" ht="14.65" thickBot="1" x14ac:dyDescent="0.5">
      <c r="A166" s="80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</row>
    <row r="167" spans="1:34" ht="14.65" thickBot="1" x14ac:dyDescent="0.5">
      <c r="A167" s="80"/>
      <c r="B167" s="49" t="s">
        <v>61</v>
      </c>
      <c r="C167" s="42">
        <v>2</v>
      </c>
      <c r="D167" s="82" t="s">
        <v>61</v>
      </c>
      <c r="E167" s="58">
        <v>1.1060000000000001</v>
      </c>
      <c r="F167" s="41">
        <v>0.93200000000000005</v>
      </c>
      <c r="G167" s="41">
        <v>0.17399999999999999</v>
      </c>
      <c r="H167" s="41">
        <v>46.2</v>
      </c>
      <c r="I167" s="41">
        <v>33.9</v>
      </c>
      <c r="J167" s="41">
        <v>20</v>
      </c>
      <c r="K167" s="41">
        <v>113.2</v>
      </c>
      <c r="L167" s="41">
        <v>34</v>
      </c>
      <c r="M167" s="41">
        <v>43</v>
      </c>
      <c r="N167" s="41">
        <v>52.8</v>
      </c>
      <c r="O167" s="41">
        <v>0.35399999999999998</v>
      </c>
      <c r="P167" s="41">
        <v>67.599999999999994</v>
      </c>
      <c r="Q167" s="41">
        <v>0.98699999999999999</v>
      </c>
      <c r="R167" s="41">
        <v>2.4</v>
      </c>
      <c r="S167" s="41">
        <v>59.3</v>
      </c>
      <c r="T167" s="41">
        <v>33.6</v>
      </c>
      <c r="U167" s="41">
        <v>0.73699999999999999</v>
      </c>
      <c r="V167" s="41">
        <v>15.5</v>
      </c>
      <c r="W167" s="41">
        <v>28.7</v>
      </c>
      <c r="X167" s="41">
        <v>44.6</v>
      </c>
      <c r="Y167" s="41">
        <v>8.4000000000000005E-2</v>
      </c>
      <c r="Z167" s="41">
        <v>44.4</v>
      </c>
      <c r="AA167" s="41">
        <v>0.104</v>
      </c>
      <c r="AB167" s="41">
        <v>0.151</v>
      </c>
      <c r="AC167" s="41">
        <v>0.17299999999999999</v>
      </c>
      <c r="AD167" s="41">
        <v>0.29399999999999998</v>
      </c>
      <c r="AE167" s="41">
        <v>0.6</v>
      </c>
      <c r="AF167" s="41">
        <v>27</v>
      </c>
      <c r="AG167" s="41">
        <v>7</v>
      </c>
      <c r="AH167" s="41">
        <v>17</v>
      </c>
    </row>
    <row r="168" spans="1:34" ht="14.65" thickBot="1" x14ac:dyDescent="0.5">
      <c r="A168" s="80"/>
      <c r="B168" s="49" t="s">
        <v>58</v>
      </c>
      <c r="C168" s="42">
        <v>3</v>
      </c>
      <c r="D168" s="83"/>
      <c r="E168" s="51">
        <v>1.1459999999999999</v>
      </c>
      <c r="F168" s="2">
        <v>1.046</v>
      </c>
      <c r="G168" s="2">
        <v>0.1</v>
      </c>
      <c r="H168" s="2">
        <v>47.4</v>
      </c>
      <c r="I168" s="2">
        <v>33.799999999999997</v>
      </c>
      <c r="J168" s="2">
        <v>18.8</v>
      </c>
      <c r="K168" s="2">
        <v>117.9</v>
      </c>
      <c r="L168" s="2">
        <v>37.4</v>
      </c>
      <c r="M168" s="2">
        <v>41.7</v>
      </c>
      <c r="N168" s="2">
        <v>56</v>
      </c>
      <c r="O168" s="2">
        <v>0.35899999999999999</v>
      </c>
      <c r="P168" s="2">
        <v>74.400000000000006</v>
      </c>
      <c r="Q168" s="2">
        <v>0.96799999999999997</v>
      </c>
      <c r="R168" s="2">
        <v>-0.6</v>
      </c>
      <c r="S168" s="2">
        <v>60.6</v>
      </c>
      <c r="T168" s="2">
        <v>27</v>
      </c>
      <c r="U168" s="2">
        <v>0.748</v>
      </c>
      <c r="V168" s="2">
        <v>14.9</v>
      </c>
      <c r="W168" s="2">
        <v>30.5</v>
      </c>
      <c r="X168" s="2">
        <v>43.7</v>
      </c>
      <c r="Y168" s="2">
        <v>6.4000000000000001E-2</v>
      </c>
      <c r="Z168" s="2">
        <v>50.4</v>
      </c>
      <c r="AA168" s="2">
        <v>9.2999999999999999E-2</v>
      </c>
      <c r="AB168" s="2">
        <v>0.17199999999999999</v>
      </c>
      <c r="AC168" s="2">
        <v>0.13900000000000001</v>
      </c>
      <c r="AD168" s="2">
        <v>0.31</v>
      </c>
      <c r="AE168" s="2">
        <v>0.6</v>
      </c>
      <c r="AF168" s="2">
        <v>22</v>
      </c>
      <c r="AG168" s="2">
        <v>11</v>
      </c>
      <c r="AH168" s="2">
        <v>10</v>
      </c>
    </row>
    <row r="169" spans="1:34" ht="14.65" thickBot="1" x14ac:dyDescent="0.5">
      <c r="A169" s="80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</row>
    <row r="170" spans="1:34" x14ac:dyDescent="0.45">
      <c r="A170" s="80"/>
      <c r="B170" s="49" t="s">
        <v>24</v>
      </c>
      <c r="C170" s="42">
        <v>2</v>
      </c>
      <c r="D170" s="82" t="s">
        <v>24</v>
      </c>
      <c r="E170" s="51">
        <v>1.1020000000000001</v>
      </c>
      <c r="F170" s="2">
        <v>0.94799999999999995</v>
      </c>
      <c r="G170" s="2">
        <v>0.154</v>
      </c>
      <c r="H170" s="2">
        <v>54.5</v>
      </c>
      <c r="I170" s="2">
        <v>23.1</v>
      </c>
      <c r="J170" s="2">
        <v>22.4</v>
      </c>
      <c r="K170" s="2">
        <v>111.5</v>
      </c>
      <c r="L170" s="2">
        <v>30.8</v>
      </c>
      <c r="M170" s="2">
        <v>32.700000000000003</v>
      </c>
      <c r="N170" s="2">
        <v>51.2</v>
      </c>
      <c r="O170" s="2">
        <v>0.378</v>
      </c>
      <c r="P170" s="2">
        <v>70.900000000000006</v>
      </c>
      <c r="Q170" s="2">
        <v>0.98699999999999999</v>
      </c>
      <c r="R170" s="2">
        <v>2.7</v>
      </c>
      <c r="S170" s="2">
        <v>57.8</v>
      </c>
      <c r="T170" s="2">
        <v>33.700000000000003</v>
      </c>
      <c r="U170" s="2">
        <v>0.77100000000000002</v>
      </c>
      <c r="V170" s="2">
        <v>16.3</v>
      </c>
      <c r="W170" s="2">
        <v>28</v>
      </c>
      <c r="X170" s="2">
        <v>40.700000000000003</v>
      </c>
      <c r="Y170" s="2">
        <v>7.8E-2</v>
      </c>
      <c r="Z170" s="2">
        <v>46.1</v>
      </c>
      <c r="AA170" s="2">
        <v>7.6999999999999999E-2</v>
      </c>
      <c r="AB170" s="2">
        <v>0.17399999999999999</v>
      </c>
      <c r="AC170" s="2">
        <v>0.159</v>
      </c>
      <c r="AD170" s="2">
        <v>0.33100000000000002</v>
      </c>
      <c r="AE170" s="2">
        <v>0.57099999999999995</v>
      </c>
      <c r="AF170" s="2">
        <v>27</v>
      </c>
      <c r="AG170" s="2">
        <v>6</v>
      </c>
      <c r="AH170" s="2">
        <v>19</v>
      </c>
    </row>
    <row r="171" spans="1:34" ht="14.65" thickBot="1" x14ac:dyDescent="0.5">
      <c r="A171" s="80"/>
      <c r="B171" s="49" t="s">
        <v>19</v>
      </c>
      <c r="C171" s="42">
        <v>6</v>
      </c>
      <c r="D171" s="83"/>
      <c r="E171" s="51">
        <v>1.0760000000000001</v>
      </c>
      <c r="F171" s="2">
        <v>1</v>
      </c>
      <c r="G171" s="2">
        <v>7.5999999999999998E-2</v>
      </c>
      <c r="H171" s="2">
        <v>47.4</v>
      </c>
      <c r="I171" s="2">
        <v>32.200000000000003</v>
      </c>
      <c r="J171" s="2">
        <v>20.399999999999999</v>
      </c>
      <c r="K171" s="2">
        <v>110.7</v>
      </c>
      <c r="L171" s="2">
        <v>34.1</v>
      </c>
      <c r="M171" s="2">
        <v>40.200000000000003</v>
      </c>
      <c r="N171" s="2">
        <v>51.1</v>
      </c>
      <c r="O171" s="2">
        <v>0.35599999999999998</v>
      </c>
      <c r="P171" s="2">
        <v>71.7</v>
      </c>
      <c r="Q171" s="2">
        <v>0.97599999999999998</v>
      </c>
      <c r="R171" s="2">
        <v>3.7</v>
      </c>
      <c r="S171" s="2">
        <v>57.3</v>
      </c>
      <c r="T171" s="2">
        <v>22.8</v>
      </c>
      <c r="U171" s="2">
        <v>0.72099999999999997</v>
      </c>
      <c r="V171" s="2">
        <v>12.4</v>
      </c>
      <c r="W171" s="2">
        <v>32.5</v>
      </c>
      <c r="X171" s="2">
        <v>43.5</v>
      </c>
      <c r="Y171" s="2">
        <v>6.7000000000000004E-2</v>
      </c>
      <c r="Z171" s="2">
        <v>50.5</v>
      </c>
      <c r="AA171" s="2">
        <v>0.122</v>
      </c>
      <c r="AB171" s="2">
        <v>0.19500000000000001</v>
      </c>
      <c r="AC171" s="2">
        <v>0.19800000000000001</v>
      </c>
      <c r="AD171" s="2">
        <v>0.39400000000000002</v>
      </c>
      <c r="AE171" s="2">
        <v>0.58299999999999996</v>
      </c>
      <c r="AF171" s="2">
        <v>22</v>
      </c>
      <c r="AG171" s="2">
        <v>11</v>
      </c>
      <c r="AH171" s="2">
        <v>29</v>
      </c>
    </row>
    <row r="172" spans="1:34" ht="14.65" thickBot="1" x14ac:dyDescent="0.5">
      <c r="A172" s="80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</row>
    <row r="173" spans="1:34" x14ac:dyDescent="0.45">
      <c r="A173" s="80"/>
      <c r="B173" s="49" t="s">
        <v>34</v>
      </c>
      <c r="C173" s="42">
        <v>3</v>
      </c>
      <c r="D173" s="82" t="s">
        <v>34</v>
      </c>
      <c r="E173" s="51">
        <v>1.1719999999999999</v>
      </c>
      <c r="F173" s="2">
        <v>0.97899999999999998</v>
      </c>
      <c r="G173" s="2">
        <v>0.193</v>
      </c>
      <c r="H173" s="2">
        <v>45.8</v>
      </c>
      <c r="I173" s="2">
        <v>37.200000000000003</v>
      </c>
      <c r="J173" s="2">
        <v>17.100000000000001</v>
      </c>
      <c r="K173" s="2">
        <v>116.1</v>
      </c>
      <c r="L173" s="2">
        <v>37.9</v>
      </c>
      <c r="M173" s="2">
        <v>44.6</v>
      </c>
      <c r="N173" s="2">
        <v>55.5</v>
      </c>
      <c r="O173" s="2">
        <v>0.29699999999999999</v>
      </c>
      <c r="P173" s="2">
        <v>69</v>
      </c>
      <c r="Q173" s="2">
        <v>1.006</v>
      </c>
      <c r="R173" s="2">
        <v>3.4</v>
      </c>
      <c r="S173" s="2">
        <v>59.4</v>
      </c>
      <c r="T173" s="2">
        <v>32.200000000000003</v>
      </c>
      <c r="U173" s="2">
        <v>0.73099999999999998</v>
      </c>
      <c r="V173" s="2">
        <v>14.4</v>
      </c>
      <c r="W173" s="2">
        <v>32.4</v>
      </c>
      <c r="X173" s="2">
        <v>34.6</v>
      </c>
      <c r="Y173" s="2">
        <v>5.5E-2</v>
      </c>
      <c r="Z173" s="2">
        <v>48</v>
      </c>
      <c r="AA173" s="2">
        <v>9.1999999999999998E-2</v>
      </c>
      <c r="AB173" s="2">
        <v>0.16200000000000001</v>
      </c>
      <c r="AC173" s="2">
        <v>0.16700000000000001</v>
      </c>
      <c r="AD173" s="2">
        <v>0.33500000000000002</v>
      </c>
      <c r="AE173" s="2">
        <v>0.58299999999999996</v>
      </c>
      <c r="AF173" s="2">
        <v>25</v>
      </c>
      <c r="AG173" s="2">
        <v>8</v>
      </c>
      <c r="AH173" s="2">
        <v>47</v>
      </c>
    </row>
    <row r="174" spans="1:34" ht="14.65" thickBot="1" x14ac:dyDescent="0.5">
      <c r="A174" s="81"/>
      <c r="B174" s="49" t="s">
        <v>36</v>
      </c>
      <c r="C174" s="42">
        <v>10</v>
      </c>
      <c r="D174" s="83"/>
      <c r="E174" s="58">
        <v>1.06</v>
      </c>
      <c r="F174" s="41">
        <v>0.98399999999999999</v>
      </c>
      <c r="G174" s="41">
        <v>7.5999999999999998E-2</v>
      </c>
      <c r="H174" s="41">
        <v>52.4</v>
      </c>
      <c r="I174" s="41">
        <v>27.5</v>
      </c>
      <c r="J174" s="41">
        <v>20.100000000000001</v>
      </c>
      <c r="K174" s="41">
        <v>111.8</v>
      </c>
      <c r="L174" s="41">
        <v>33.299999999999997</v>
      </c>
      <c r="M174" s="41">
        <v>36.700000000000003</v>
      </c>
      <c r="N174" s="41">
        <v>52.7</v>
      </c>
      <c r="O174" s="41">
        <v>0.35499999999999998</v>
      </c>
      <c r="P174" s="41">
        <v>72.3</v>
      </c>
      <c r="Q174" s="41">
        <v>0.95</v>
      </c>
      <c r="R174" s="41">
        <v>-1</v>
      </c>
      <c r="S174" s="41">
        <v>58.3</v>
      </c>
      <c r="T174" s="41">
        <v>25</v>
      </c>
      <c r="U174" s="41">
        <v>0.72</v>
      </c>
      <c r="V174" s="41">
        <v>16.100000000000001</v>
      </c>
      <c r="W174" s="41">
        <v>31.4</v>
      </c>
      <c r="X174" s="41">
        <v>38.9</v>
      </c>
      <c r="Y174" s="41">
        <v>9.0999999999999998E-2</v>
      </c>
      <c r="Z174" s="41">
        <v>48.3</v>
      </c>
      <c r="AA174" s="41">
        <v>0.104</v>
      </c>
      <c r="AB174" s="41">
        <v>0.16900000000000001</v>
      </c>
      <c r="AC174" s="41">
        <v>0.16800000000000001</v>
      </c>
      <c r="AD174" s="41">
        <v>0.29399999999999998</v>
      </c>
      <c r="AE174" s="41">
        <v>0.54600000000000004</v>
      </c>
      <c r="AF174" s="41">
        <v>20</v>
      </c>
      <c r="AG174" s="41">
        <v>13</v>
      </c>
      <c r="AH174" s="41">
        <v>43</v>
      </c>
    </row>
    <row r="175" spans="1:34" x14ac:dyDescent="0.45">
      <c r="A175" s="76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</row>
    <row r="176" spans="1:34" ht="14.65" thickBot="1" x14ac:dyDescent="0.5">
      <c r="A176" s="76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</row>
    <row r="177" spans="1:34" ht="15" customHeight="1" x14ac:dyDescent="0.45">
      <c r="A177" s="70" t="s">
        <v>77</v>
      </c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2"/>
    </row>
    <row r="178" spans="1:34" ht="15.75" customHeight="1" thickBot="1" x14ac:dyDescent="0.5">
      <c r="A178" s="73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5"/>
    </row>
    <row r="179" spans="1:34" x14ac:dyDescent="0.45">
      <c r="A179" s="78" t="s">
        <v>77</v>
      </c>
      <c r="B179" s="51" t="s">
        <v>14</v>
      </c>
      <c r="C179" s="52">
        <v>1</v>
      </c>
      <c r="D179" s="84" t="s">
        <v>14</v>
      </c>
      <c r="E179" s="54">
        <v>1.1819999999999999</v>
      </c>
      <c r="F179" s="2">
        <v>0.98099999999999998</v>
      </c>
      <c r="G179" s="2">
        <v>0.20100000000000001</v>
      </c>
      <c r="H179" s="2">
        <v>48.8</v>
      </c>
      <c r="I179" s="2">
        <v>32.799999999999997</v>
      </c>
      <c r="J179" s="2">
        <v>18.3</v>
      </c>
      <c r="K179" s="2">
        <v>117.1</v>
      </c>
      <c r="L179" s="2">
        <v>36.799999999999997</v>
      </c>
      <c r="M179" s="2">
        <v>40.6</v>
      </c>
      <c r="N179" s="2">
        <v>55.7</v>
      </c>
      <c r="O179" s="2">
        <v>0.33500000000000002</v>
      </c>
      <c r="P179" s="2">
        <v>70.900000000000006</v>
      </c>
      <c r="Q179" s="2">
        <v>1.014</v>
      </c>
      <c r="R179" s="2">
        <v>4.3</v>
      </c>
      <c r="S179" s="2">
        <v>60.5</v>
      </c>
      <c r="T179" s="2">
        <v>33.299999999999997</v>
      </c>
      <c r="U179" s="2">
        <v>0.73199999999999998</v>
      </c>
      <c r="V179" s="2">
        <v>13</v>
      </c>
      <c r="W179" s="2">
        <v>29.8</v>
      </c>
      <c r="X179" s="2">
        <v>35.299999999999997</v>
      </c>
      <c r="Y179" s="2">
        <v>0.10199999999999999</v>
      </c>
      <c r="Z179" s="2">
        <v>46</v>
      </c>
      <c r="AA179" s="2">
        <v>9.5000000000000001E-2</v>
      </c>
      <c r="AB179" s="2">
        <v>0.13500000000000001</v>
      </c>
      <c r="AC179" s="2">
        <v>0.16800000000000001</v>
      </c>
      <c r="AD179" s="2">
        <v>0.39200000000000002</v>
      </c>
      <c r="AE179" s="2">
        <v>0.77800000000000002</v>
      </c>
      <c r="AF179" s="2">
        <v>28</v>
      </c>
      <c r="AG179" s="2">
        <v>5</v>
      </c>
      <c r="AH179" s="2">
        <v>3</v>
      </c>
    </row>
    <row r="180" spans="1:34" ht="14.65" thickBot="1" x14ac:dyDescent="0.5">
      <c r="A180" s="78"/>
      <c r="B180" s="49" t="s">
        <v>24</v>
      </c>
      <c r="C180" s="42">
        <v>2</v>
      </c>
      <c r="D180" s="83"/>
      <c r="E180" s="2">
        <v>1.1020000000000001</v>
      </c>
      <c r="F180" s="2">
        <v>0.94799999999999995</v>
      </c>
      <c r="G180" s="2">
        <v>0.154</v>
      </c>
      <c r="H180" s="2">
        <v>54.5</v>
      </c>
      <c r="I180" s="2">
        <v>23.1</v>
      </c>
      <c r="J180" s="2">
        <v>22.4</v>
      </c>
      <c r="K180" s="2">
        <v>111.5</v>
      </c>
      <c r="L180" s="2">
        <v>30.8</v>
      </c>
      <c r="M180" s="2">
        <v>32.700000000000003</v>
      </c>
      <c r="N180" s="2">
        <v>51.2</v>
      </c>
      <c r="O180" s="2">
        <v>0.378</v>
      </c>
      <c r="P180" s="2">
        <v>70.900000000000006</v>
      </c>
      <c r="Q180" s="2">
        <v>0.98699999999999999</v>
      </c>
      <c r="R180" s="2">
        <v>2.7</v>
      </c>
      <c r="S180" s="2">
        <v>57.8</v>
      </c>
      <c r="T180" s="2">
        <v>33.700000000000003</v>
      </c>
      <c r="U180" s="2">
        <v>0.77100000000000002</v>
      </c>
      <c r="V180" s="2">
        <v>16.3</v>
      </c>
      <c r="W180" s="2">
        <v>28</v>
      </c>
      <c r="X180" s="2">
        <v>40.700000000000003</v>
      </c>
      <c r="Y180" s="2">
        <v>7.8E-2</v>
      </c>
      <c r="Z180" s="2">
        <v>46.1</v>
      </c>
      <c r="AA180" s="2">
        <v>7.6999999999999999E-2</v>
      </c>
      <c r="AB180" s="2">
        <v>0.17399999999999999</v>
      </c>
      <c r="AC180" s="2">
        <v>0.159</v>
      </c>
      <c r="AD180" s="2">
        <v>0.33100000000000002</v>
      </c>
      <c r="AE180" s="2">
        <v>0.57099999999999995</v>
      </c>
      <c r="AF180" s="2">
        <v>27</v>
      </c>
      <c r="AG180" s="2">
        <v>6</v>
      </c>
      <c r="AH180" s="2">
        <v>19</v>
      </c>
    </row>
    <row r="181" spans="1:34" ht="14.65" thickBot="1" x14ac:dyDescent="0.5">
      <c r="A181" s="78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</row>
    <row r="182" spans="1:34" x14ac:dyDescent="0.45">
      <c r="A182" s="78"/>
      <c r="B182" s="49" t="s">
        <v>26</v>
      </c>
      <c r="C182" s="42">
        <v>1</v>
      </c>
      <c r="D182" s="82" t="s">
        <v>26</v>
      </c>
      <c r="E182" s="2">
        <v>1.1779999999999999</v>
      </c>
      <c r="F182" s="2">
        <v>0.95499999999999996</v>
      </c>
      <c r="G182" s="2">
        <v>0.27100000000000002</v>
      </c>
      <c r="H182" s="2">
        <v>47</v>
      </c>
      <c r="I182" s="2">
        <v>34.799999999999997</v>
      </c>
      <c r="J182" s="2">
        <v>18.100000000000001</v>
      </c>
      <c r="K182" s="2">
        <v>116</v>
      </c>
      <c r="L182" s="2">
        <v>35.5</v>
      </c>
      <c r="M182" s="2">
        <v>43.6</v>
      </c>
      <c r="N182" s="2">
        <v>55</v>
      </c>
      <c r="O182" s="2">
        <v>0.32600000000000001</v>
      </c>
      <c r="P182" s="2">
        <v>72.5</v>
      </c>
      <c r="Q182" s="2">
        <v>1.022</v>
      </c>
      <c r="R182" s="2">
        <v>3.7</v>
      </c>
      <c r="S182" s="2">
        <v>61.6</v>
      </c>
      <c r="T182" s="2">
        <v>36.9</v>
      </c>
      <c r="U182" s="2">
        <v>0.73099999999999998</v>
      </c>
      <c r="V182" s="2">
        <v>14.7</v>
      </c>
      <c r="W182" s="2">
        <v>29.4</v>
      </c>
      <c r="X182" s="2">
        <v>37.200000000000003</v>
      </c>
      <c r="Y182" s="2">
        <v>7.2999999999999995E-2</v>
      </c>
      <c r="Z182" s="2">
        <v>45.3</v>
      </c>
      <c r="AA182" s="2">
        <v>0.104</v>
      </c>
      <c r="AB182" s="2">
        <v>0.155</v>
      </c>
      <c r="AC182" s="2">
        <v>0.16400000000000001</v>
      </c>
      <c r="AD182" s="2">
        <v>0.33</v>
      </c>
      <c r="AE182" s="2">
        <v>0.5</v>
      </c>
      <c r="AF182" s="2">
        <v>30</v>
      </c>
      <c r="AG182" s="2">
        <v>4</v>
      </c>
      <c r="AH182" s="2">
        <v>32</v>
      </c>
    </row>
    <row r="183" spans="1:34" ht="14.65" thickBot="1" x14ac:dyDescent="0.5">
      <c r="A183" s="78"/>
      <c r="B183" s="49" t="s">
        <v>34</v>
      </c>
      <c r="C183" s="42">
        <v>3</v>
      </c>
      <c r="D183" s="83"/>
      <c r="E183" s="2">
        <v>1.1719999999999999</v>
      </c>
      <c r="F183" s="2">
        <v>0.97899999999999998</v>
      </c>
      <c r="G183" s="2">
        <v>0.193</v>
      </c>
      <c r="H183" s="2">
        <v>45.8</v>
      </c>
      <c r="I183" s="2">
        <v>37.200000000000003</v>
      </c>
      <c r="J183" s="2">
        <v>17.100000000000001</v>
      </c>
      <c r="K183" s="2">
        <v>116.1</v>
      </c>
      <c r="L183" s="2">
        <v>37.9</v>
      </c>
      <c r="M183" s="2">
        <v>44.6</v>
      </c>
      <c r="N183" s="2">
        <v>55.5</v>
      </c>
      <c r="O183" s="2">
        <v>0.29699999999999999</v>
      </c>
      <c r="P183" s="2">
        <v>69</v>
      </c>
      <c r="Q183" s="2">
        <v>1.006</v>
      </c>
      <c r="R183" s="2">
        <v>3.4</v>
      </c>
      <c r="S183" s="2">
        <v>59.4</v>
      </c>
      <c r="T183" s="2">
        <v>32.200000000000003</v>
      </c>
      <c r="U183" s="2">
        <v>0.73099999999999998</v>
      </c>
      <c r="V183" s="2">
        <v>14.4</v>
      </c>
      <c r="W183" s="2">
        <v>32.4</v>
      </c>
      <c r="X183" s="2">
        <v>34.6</v>
      </c>
      <c r="Y183" s="2">
        <v>5.5E-2</v>
      </c>
      <c r="Z183" s="2">
        <v>48</v>
      </c>
      <c r="AA183" s="2">
        <v>9.1999999999999998E-2</v>
      </c>
      <c r="AB183" s="2">
        <v>0.16200000000000001</v>
      </c>
      <c r="AC183" s="2">
        <v>0.16700000000000001</v>
      </c>
      <c r="AD183" s="2">
        <v>0.33500000000000002</v>
      </c>
      <c r="AE183" s="2">
        <v>0.58299999999999996</v>
      </c>
      <c r="AF183" s="2">
        <v>25</v>
      </c>
      <c r="AG183" s="2">
        <v>8</v>
      </c>
      <c r="AH183" s="2">
        <v>47</v>
      </c>
    </row>
    <row r="184" spans="1:34" ht="14.65" thickBot="1" x14ac:dyDescent="0.5">
      <c r="A184" s="78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</row>
    <row r="185" spans="1:34" x14ac:dyDescent="0.45">
      <c r="A185" s="78"/>
      <c r="B185" s="49" t="s">
        <v>39</v>
      </c>
      <c r="C185" s="42">
        <v>1</v>
      </c>
      <c r="D185" s="82" t="s">
        <v>39</v>
      </c>
      <c r="E185" s="1">
        <v>1.2110000000000001</v>
      </c>
      <c r="F185" s="1">
        <v>0.90700000000000003</v>
      </c>
      <c r="G185" s="1">
        <v>0.30399999999999999</v>
      </c>
      <c r="H185" s="1">
        <v>45.1</v>
      </c>
      <c r="I185" s="1">
        <v>36.9</v>
      </c>
      <c r="J185" s="1">
        <v>18</v>
      </c>
      <c r="K185" s="1">
        <v>123</v>
      </c>
      <c r="L185" s="1">
        <v>37.700000000000003</v>
      </c>
      <c r="M185" s="1">
        <v>45.4</v>
      </c>
      <c r="N185" s="1">
        <v>57.4</v>
      </c>
      <c r="O185" s="1">
        <v>0.32100000000000001</v>
      </c>
      <c r="P185" s="1">
        <v>68.3</v>
      </c>
      <c r="Q185" s="1">
        <v>1.004</v>
      </c>
      <c r="R185" s="1">
        <v>3.8</v>
      </c>
      <c r="S185" s="1">
        <v>64.400000000000006</v>
      </c>
      <c r="T185" s="1">
        <v>34.1</v>
      </c>
      <c r="U185" s="1">
        <v>0.76300000000000001</v>
      </c>
      <c r="V185" s="1">
        <v>14</v>
      </c>
      <c r="W185" s="1">
        <v>31.1</v>
      </c>
      <c r="X185" s="1">
        <v>38.299999999999997</v>
      </c>
      <c r="Y185" s="1">
        <v>6.7000000000000004E-2</v>
      </c>
      <c r="Z185" s="1">
        <v>44.5</v>
      </c>
      <c r="AA185" s="1">
        <v>9.9000000000000005E-2</v>
      </c>
      <c r="AB185" s="1">
        <v>0.16600000000000001</v>
      </c>
      <c r="AC185" s="1">
        <v>0.16700000000000001</v>
      </c>
      <c r="AD185" s="1">
        <v>0.254</v>
      </c>
      <c r="AE185" s="1">
        <v>0.33300000000000002</v>
      </c>
      <c r="AF185" s="1">
        <v>31</v>
      </c>
      <c r="AG185" s="1">
        <v>3</v>
      </c>
      <c r="AH185" s="1">
        <v>37</v>
      </c>
    </row>
    <row r="186" spans="1:34" ht="14.65" thickBot="1" x14ac:dyDescent="0.5">
      <c r="A186" s="78"/>
      <c r="B186" s="49" t="s">
        <v>49</v>
      </c>
      <c r="C186" s="42">
        <v>2</v>
      </c>
      <c r="D186" s="83"/>
      <c r="E186" s="2">
        <v>1.1559999999999999</v>
      </c>
      <c r="F186" s="2">
        <v>1.0329999999999999</v>
      </c>
      <c r="G186" s="2">
        <v>0.123</v>
      </c>
      <c r="H186" s="2">
        <v>45.1</v>
      </c>
      <c r="I186" s="2">
        <v>34.799999999999997</v>
      </c>
      <c r="J186" s="2">
        <v>20.100000000000001</v>
      </c>
      <c r="K186" s="2">
        <v>120</v>
      </c>
      <c r="L186" s="2">
        <v>35</v>
      </c>
      <c r="M186" s="2">
        <v>46.2</v>
      </c>
      <c r="N186" s="2">
        <v>56.4</v>
      </c>
      <c r="O186" s="2">
        <v>0.40100000000000002</v>
      </c>
      <c r="P186" s="2">
        <v>78.8</v>
      </c>
      <c r="Q186" s="2">
        <v>0.97399999999999998</v>
      </c>
      <c r="R186" s="2">
        <v>-2.4</v>
      </c>
      <c r="S186" s="2">
        <v>68.5</v>
      </c>
      <c r="T186" s="2">
        <v>32.700000000000003</v>
      </c>
      <c r="U186" s="2">
        <v>0.73099999999999998</v>
      </c>
      <c r="V186" s="2">
        <v>16.2</v>
      </c>
      <c r="W186" s="2">
        <v>30.4</v>
      </c>
      <c r="X186" s="2">
        <v>34.6</v>
      </c>
      <c r="Y186" s="2">
        <v>6.6000000000000003E-2</v>
      </c>
      <c r="Z186" s="2">
        <v>47.9</v>
      </c>
      <c r="AA186" s="2">
        <v>7.6999999999999999E-2</v>
      </c>
      <c r="AB186" s="2">
        <v>0.16300000000000001</v>
      </c>
      <c r="AC186" s="2">
        <v>0.13</v>
      </c>
      <c r="AD186" s="2">
        <v>0.33900000000000002</v>
      </c>
      <c r="AE186" s="2">
        <v>0.66700000000000004</v>
      </c>
      <c r="AF186" s="2">
        <v>25</v>
      </c>
      <c r="AG186" s="2">
        <v>8</v>
      </c>
      <c r="AH186" s="2">
        <v>1</v>
      </c>
    </row>
    <row r="187" spans="1:34" ht="14.65" thickBot="1" x14ac:dyDescent="0.5">
      <c r="A187" s="78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</row>
    <row r="188" spans="1:34" x14ac:dyDescent="0.45">
      <c r="A188" s="78"/>
      <c r="B188" s="49" t="s">
        <v>51</v>
      </c>
      <c r="C188" s="42">
        <v>1</v>
      </c>
      <c r="D188" s="82" t="s">
        <v>51</v>
      </c>
      <c r="E188" s="2">
        <v>1.131</v>
      </c>
      <c r="F188" s="2">
        <v>0.89100000000000001</v>
      </c>
      <c r="G188" s="2">
        <v>0.24</v>
      </c>
      <c r="H188" s="2">
        <v>50.7</v>
      </c>
      <c r="I188" s="2">
        <v>32.700000000000003</v>
      </c>
      <c r="J188" s="2">
        <v>16.600000000000001</v>
      </c>
      <c r="K188" s="2">
        <v>111.2</v>
      </c>
      <c r="L188" s="2">
        <v>39.799999999999997</v>
      </c>
      <c r="M188" s="2">
        <v>34.5</v>
      </c>
      <c r="N188" s="2">
        <v>52.7</v>
      </c>
      <c r="O188" s="2">
        <v>0.28199999999999997</v>
      </c>
      <c r="P188" s="2">
        <v>65.599999999999994</v>
      </c>
      <c r="Q188" s="2">
        <v>1.026</v>
      </c>
      <c r="R188" s="2">
        <v>8.1999999999999993</v>
      </c>
      <c r="S188" s="2">
        <v>52.3</v>
      </c>
      <c r="T188" s="2">
        <v>35.700000000000003</v>
      </c>
      <c r="U188" s="2">
        <v>0.753</v>
      </c>
      <c r="V188" s="2">
        <v>14.2</v>
      </c>
      <c r="W188" s="2">
        <v>30.2</v>
      </c>
      <c r="X188" s="2">
        <v>43.4</v>
      </c>
      <c r="Y188" s="2">
        <v>0.09</v>
      </c>
      <c r="Z188" s="2">
        <v>44.9</v>
      </c>
      <c r="AA188" s="2">
        <v>0.122</v>
      </c>
      <c r="AB188" s="2">
        <v>0.16800000000000001</v>
      </c>
      <c r="AC188" s="2">
        <v>0.20899999999999999</v>
      </c>
      <c r="AD188" s="2">
        <v>0.34100000000000003</v>
      </c>
      <c r="AE188" s="2">
        <v>0.42899999999999999</v>
      </c>
      <c r="AF188" s="2">
        <v>30</v>
      </c>
      <c r="AG188" s="2">
        <v>4</v>
      </c>
      <c r="AH188" s="2">
        <v>9</v>
      </c>
    </row>
    <row r="189" spans="1:34" ht="14.65" thickBot="1" x14ac:dyDescent="0.5">
      <c r="A189" s="79"/>
      <c r="B189" s="49" t="s">
        <v>61</v>
      </c>
      <c r="C189" s="42">
        <v>2</v>
      </c>
      <c r="D189" s="83"/>
      <c r="E189" s="41">
        <v>1.1060000000000001</v>
      </c>
      <c r="F189" s="41">
        <v>0.93200000000000005</v>
      </c>
      <c r="G189" s="41">
        <v>0.17399999999999999</v>
      </c>
      <c r="H189" s="41">
        <v>46.2</v>
      </c>
      <c r="I189" s="41">
        <v>33.9</v>
      </c>
      <c r="J189" s="41">
        <v>20</v>
      </c>
      <c r="K189" s="41">
        <v>113.2</v>
      </c>
      <c r="L189" s="41">
        <v>34</v>
      </c>
      <c r="M189" s="41">
        <v>43</v>
      </c>
      <c r="N189" s="41">
        <v>52.8</v>
      </c>
      <c r="O189" s="41">
        <v>0.35399999999999998</v>
      </c>
      <c r="P189" s="41">
        <v>67.599999999999994</v>
      </c>
      <c r="Q189" s="41">
        <v>0.98699999999999999</v>
      </c>
      <c r="R189" s="41">
        <v>2.4</v>
      </c>
      <c r="S189" s="41">
        <v>59.3</v>
      </c>
      <c r="T189" s="41">
        <v>33.6</v>
      </c>
      <c r="U189" s="41">
        <v>0.73699999999999999</v>
      </c>
      <c r="V189" s="41">
        <v>15.5</v>
      </c>
      <c r="W189" s="41">
        <v>28.7</v>
      </c>
      <c r="X189" s="41">
        <v>44.6</v>
      </c>
      <c r="Y189" s="41">
        <v>8.4000000000000005E-2</v>
      </c>
      <c r="Z189" s="41">
        <v>44.4</v>
      </c>
      <c r="AA189" s="41">
        <v>0.104</v>
      </c>
      <c r="AB189" s="41">
        <v>0.151</v>
      </c>
      <c r="AC189" s="41">
        <v>0.17299999999999999</v>
      </c>
      <c r="AD189" s="41">
        <v>0.29399999999999998</v>
      </c>
      <c r="AE189" s="41">
        <v>0.6</v>
      </c>
      <c r="AF189" s="41">
        <v>27</v>
      </c>
      <c r="AG189" s="41">
        <v>7</v>
      </c>
      <c r="AH189" s="41">
        <v>17</v>
      </c>
    </row>
    <row r="190" spans="1:34" x14ac:dyDescent="0.45">
      <c r="A190" s="76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</row>
    <row r="191" spans="1:34" ht="14.65" thickBot="1" x14ac:dyDescent="0.5">
      <c r="A191" s="76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</row>
    <row r="192" spans="1:34" ht="15" customHeight="1" x14ac:dyDescent="0.45">
      <c r="A192" s="70" t="s">
        <v>92</v>
      </c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2"/>
    </row>
    <row r="193" spans="1:34" ht="15.75" customHeight="1" thickBot="1" x14ac:dyDescent="0.5">
      <c r="A193" s="73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5"/>
    </row>
    <row r="194" spans="1:34" x14ac:dyDescent="0.45">
      <c r="A194" s="80" t="s">
        <v>92</v>
      </c>
      <c r="B194" s="54" t="s">
        <v>14</v>
      </c>
      <c r="C194" s="45">
        <v>1</v>
      </c>
      <c r="D194" s="84" t="s">
        <v>26</v>
      </c>
      <c r="E194" s="54">
        <v>1.1819999999999999</v>
      </c>
      <c r="F194" s="5">
        <v>0.98099999999999998</v>
      </c>
      <c r="G194" s="5">
        <v>0.20100000000000001</v>
      </c>
      <c r="H194" s="5">
        <v>48.8</v>
      </c>
      <c r="I194" s="5">
        <v>32.799999999999997</v>
      </c>
      <c r="J194" s="5">
        <v>18.3</v>
      </c>
      <c r="K194" s="5">
        <v>117.1</v>
      </c>
      <c r="L194" s="5">
        <v>36.799999999999997</v>
      </c>
      <c r="M194" s="5">
        <v>40.6</v>
      </c>
      <c r="N194" s="5">
        <v>55.7</v>
      </c>
      <c r="O194" s="5">
        <v>0.33500000000000002</v>
      </c>
      <c r="P194" s="5">
        <v>70.900000000000006</v>
      </c>
      <c r="Q194" s="5">
        <v>1.014</v>
      </c>
      <c r="R194" s="5">
        <v>4.3</v>
      </c>
      <c r="S194" s="5">
        <v>60.5</v>
      </c>
      <c r="T194" s="5">
        <v>33.299999999999997</v>
      </c>
      <c r="U194" s="5">
        <v>0.73199999999999998</v>
      </c>
      <c r="V194" s="5">
        <v>13</v>
      </c>
      <c r="W194" s="5">
        <v>29.8</v>
      </c>
      <c r="X194" s="5">
        <v>35.299999999999997</v>
      </c>
      <c r="Y194" s="5">
        <v>0.10199999999999999</v>
      </c>
      <c r="Z194" s="5">
        <v>46</v>
      </c>
      <c r="AA194" s="5">
        <v>9.5000000000000001E-2</v>
      </c>
      <c r="AB194" s="5">
        <v>0.13500000000000001</v>
      </c>
      <c r="AC194" s="5">
        <v>0.16800000000000001</v>
      </c>
      <c r="AD194" s="5">
        <v>0.39200000000000002</v>
      </c>
      <c r="AE194" s="5">
        <v>0.77800000000000002</v>
      </c>
      <c r="AF194" s="5">
        <v>28</v>
      </c>
      <c r="AG194" s="5">
        <v>5</v>
      </c>
      <c r="AH194" s="5">
        <v>3</v>
      </c>
    </row>
    <row r="195" spans="1:34" ht="14.65" thickBot="1" x14ac:dyDescent="0.5">
      <c r="A195" s="80"/>
      <c r="B195" s="60" t="s">
        <v>26</v>
      </c>
      <c r="C195" s="44">
        <v>1</v>
      </c>
      <c r="D195" s="83"/>
      <c r="E195" s="5">
        <v>1.1779999999999999</v>
      </c>
      <c r="F195" s="5">
        <v>0.95499999999999996</v>
      </c>
      <c r="G195" s="5">
        <v>0.27100000000000002</v>
      </c>
      <c r="H195" s="5">
        <v>47</v>
      </c>
      <c r="I195" s="5">
        <v>34.799999999999997</v>
      </c>
      <c r="J195" s="5">
        <v>18.100000000000001</v>
      </c>
      <c r="K195" s="5">
        <v>116</v>
      </c>
      <c r="L195" s="5">
        <v>35.5</v>
      </c>
      <c r="M195" s="5">
        <v>43.6</v>
      </c>
      <c r="N195" s="5">
        <v>55</v>
      </c>
      <c r="O195" s="5">
        <v>0.32600000000000001</v>
      </c>
      <c r="P195" s="5">
        <v>72.5</v>
      </c>
      <c r="Q195" s="5">
        <v>1.022</v>
      </c>
      <c r="R195" s="5">
        <v>3.7</v>
      </c>
      <c r="S195" s="5">
        <v>61.6</v>
      </c>
      <c r="T195" s="5">
        <v>36.9</v>
      </c>
      <c r="U195" s="5">
        <v>0.73099999999999998</v>
      </c>
      <c r="V195" s="5">
        <v>14.7</v>
      </c>
      <c r="W195" s="5">
        <v>29.4</v>
      </c>
      <c r="X195" s="5">
        <v>37.200000000000003</v>
      </c>
      <c r="Y195" s="5">
        <v>7.2999999999999995E-2</v>
      </c>
      <c r="Z195" s="5">
        <v>45.3</v>
      </c>
      <c r="AA195" s="5">
        <v>0.104</v>
      </c>
      <c r="AB195" s="5">
        <v>0.155</v>
      </c>
      <c r="AC195" s="5">
        <v>0.16400000000000001</v>
      </c>
      <c r="AD195" s="5">
        <v>0.33</v>
      </c>
      <c r="AE195" s="5">
        <v>0.5</v>
      </c>
      <c r="AF195" s="5">
        <v>30</v>
      </c>
      <c r="AG195" s="5">
        <v>4</v>
      </c>
      <c r="AH195" s="5">
        <v>32</v>
      </c>
    </row>
    <row r="196" spans="1:34" ht="14.65" thickBot="1" x14ac:dyDescent="0.5">
      <c r="A196" s="80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</row>
    <row r="197" spans="1:34" x14ac:dyDescent="0.45">
      <c r="A197" s="80"/>
      <c r="B197" s="60" t="s">
        <v>39</v>
      </c>
      <c r="C197" s="44">
        <v>1</v>
      </c>
      <c r="D197" s="82" t="s">
        <v>51</v>
      </c>
      <c r="E197" s="4">
        <v>1.2110000000000001</v>
      </c>
      <c r="F197" s="4">
        <v>0.90700000000000003</v>
      </c>
      <c r="G197" s="4">
        <v>0.30399999999999999</v>
      </c>
      <c r="H197" s="4">
        <v>45.1</v>
      </c>
      <c r="I197" s="4">
        <v>36.9</v>
      </c>
      <c r="J197" s="4">
        <v>18</v>
      </c>
      <c r="K197" s="4">
        <v>123</v>
      </c>
      <c r="L197" s="4">
        <v>37.700000000000003</v>
      </c>
      <c r="M197" s="4">
        <v>45.4</v>
      </c>
      <c r="N197" s="4">
        <v>57.4</v>
      </c>
      <c r="O197" s="4">
        <v>0.32100000000000001</v>
      </c>
      <c r="P197" s="4">
        <v>68.3</v>
      </c>
      <c r="Q197" s="4">
        <v>1.004</v>
      </c>
      <c r="R197" s="4">
        <v>3.8</v>
      </c>
      <c r="S197" s="4">
        <v>64.400000000000006</v>
      </c>
      <c r="T197" s="4">
        <v>34.1</v>
      </c>
      <c r="U197" s="4">
        <v>0.76300000000000001</v>
      </c>
      <c r="V197" s="4">
        <v>14</v>
      </c>
      <c r="W197" s="4">
        <v>31.1</v>
      </c>
      <c r="X197" s="4">
        <v>38.299999999999997</v>
      </c>
      <c r="Y197" s="4">
        <v>6.7000000000000004E-2</v>
      </c>
      <c r="Z197" s="4">
        <v>44.5</v>
      </c>
      <c r="AA197" s="4">
        <v>9.9000000000000005E-2</v>
      </c>
      <c r="AB197" s="4">
        <v>0.16600000000000001</v>
      </c>
      <c r="AC197" s="4">
        <v>0.16700000000000001</v>
      </c>
      <c r="AD197" s="4">
        <v>0.254</v>
      </c>
      <c r="AE197" s="4">
        <v>0.33300000000000002</v>
      </c>
      <c r="AF197" s="4">
        <v>31</v>
      </c>
      <c r="AG197" s="4">
        <v>3</v>
      </c>
      <c r="AH197" s="4">
        <v>37</v>
      </c>
    </row>
    <row r="198" spans="1:34" ht="14.65" thickBot="1" x14ac:dyDescent="0.5">
      <c r="A198" s="81"/>
      <c r="B198" s="60" t="s">
        <v>51</v>
      </c>
      <c r="C198" s="44">
        <v>1</v>
      </c>
      <c r="D198" s="83"/>
      <c r="E198" s="5">
        <v>1.131</v>
      </c>
      <c r="F198" s="5">
        <v>0.89100000000000001</v>
      </c>
      <c r="G198" s="5">
        <v>0.24</v>
      </c>
      <c r="H198" s="5">
        <v>50.7</v>
      </c>
      <c r="I198" s="5">
        <v>32.700000000000003</v>
      </c>
      <c r="J198" s="5">
        <v>16.600000000000001</v>
      </c>
      <c r="K198" s="5">
        <v>111.2</v>
      </c>
      <c r="L198" s="5">
        <v>39.799999999999997</v>
      </c>
      <c r="M198" s="5">
        <v>34.5</v>
      </c>
      <c r="N198" s="5">
        <v>52.7</v>
      </c>
      <c r="O198" s="5">
        <v>0.28199999999999997</v>
      </c>
      <c r="P198" s="5">
        <v>65.599999999999994</v>
      </c>
      <c r="Q198" s="5">
        <v>1.026</v>
      </c>
      <c r="R198" s="5">
        <v>8.1999999999999993</v>
      </c>
      <c r="S198" s="5">
        <v>52.3</v>
      </c>
      <c r="T198" s="5">
        <v>35.700000000000003</v>
      </c>
      <c r="U198" s="5">
        <v>0.753</v>
      </c>
      <c r="V198" s="5">
        <v>14.2</v>
      </c>
      <c r="W198" s="5">
        <v>30.2</v>
      </c>
      <c r="X198" s="5">
        <v>43.4</v>
      </c>
      <c r="Y198" s="5">
        <v>0.09</v>
      </c>
      <c r="Z198" s="5">
        <v>44.9</v>
      </c>
      <c r="AA198" s="5">
        <v>0.122</v>
      </c>
      <c r="AB198" s="5">
        <v>0.16800000000000001</v>
      </c>
      <c r="AC198" s="5">
        <v>0.20899999999999999</v>
      </c>
      <c r="AD198" s="5">
        <v>0.34100000000000003</v>
      </c>
      <c r="AE198" s="5">
        <v>0.42899999999999999</v>
      </c>
      <c r="AF198" s="5">
        <v>30</v>
      </c>
      <c r="AG198" s="5">
        <v>4</v>
      </c>
      <c r="AH198" s="5">
        <v>9</v>
      </c>
    </row>
    <row r="199" spans="1:34" x14ac:dyDescent="0.45">
      <c r="A199" s="76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</row>
    <row r="200" spans="1:34" ht="14.65" thickBot="1" x14ac:dyDescent="0.5">
      <c r="A200" s="76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</row>
    <row r="201" spans="1:34" ht="15" customHeight="1" x14ac:dyDescent="0.45">
      <c r="A201" s="70" t="s">
        <v>78</v>
      </c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2"/>
    </row>
    <row r="202" spans="1:34" ht="15.75" customHeight="1" thickBot="1" x14ac:dyDescent="0.5">
      <c r="A202" s="73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5"/>
    </row>
    <row r="203" spans="1:34" ht="28.5" customHeight="1" x14ac:dyDescent="0.45">
      <c r="A203" s="80" t="s">
        <v>108</v>
      </c>
      <c r="B203" s="51" t="s">
        <v>26</v>
      </c>
      <c r="C203" s="52">
        <v>1</v>
      </c>
      <c r="D203" s="84" t="s">
        <v>26</v>
      </c>
      <c r="E203" s="5">
        <v>1.1779999999999999</v>
      </c>
      <c r="F203" s="5">
        <v>0.95499999999999996</v>
      </c>
      <c r="G203" s="5">
        <v>0.27100000000000002</v>
      </c>
      <c r="H203" s="5">
        <v>47</v>
      </c>
      <c r="I203" s="5">
        <v>34.799999999999997</v>
      </c>
      <c r="J203" s="5">
        <v>18.100000000000001</v>
      </c>
      <c r="K203" s="5">
        <v>116</v>
      </c>
      <c r="L203" s="5">
        <v>35.5</v>
      </c>
      <c r="M203" s="5">
        <v>43.6</v>
      </c>
      <c r="N203" s="5">
        <v>55</v>
      </c>
      <c r="O203" s="5">
        <v>0.32600000000000001</v>
      </c>
      <c r="P203" s="5">
        <v>72.5</v>
      </c>
      <c r="Q203" s="5">
        <v>1.022</v>
      </c>
      <c r="R203" s="5">
        <v>3.7</v>
      </c>
      <c r="S203" s="5">
        <v>61.6</v>
      </c>
      <c r="T203" s="5">
        <v>36.9</v>
      </c>
      <c r="U203" s="5">
        <v>0.73099999999999998</v>
      </c>
      <c r="V203" s="5">
        <v>14.7</v>
      </c>
      <c r="W203" s="5">
        <v>29.4</v>
      </c>
      <c r="X203" s="5">
        <v>37.200000000000003</v>
      </c>
      <c r="Y203" s="5">
        <v>7.2999999999999995E-2</v>
      </c>
      <c r="Z203" s="5">
        <v>45.3</v>
      </c>
      <c r="AA203" s="5">
        <v>0.104</v>
      </c>
      <c r="AB203" s="5">
        <v>0.155</v>
      </c>
      <c r="AC203" s="5">
        <v>0.16400000000000001</v>
      </c>
      <c r="AD203" s="5">
        <v>0.33</v>
      </c>
      <c r="AE203" s="5">
        <v>0.5</v>
      </c>
      <c r="AF203" s="5">
        <v>30</v>
      </c>
      <c r="AG203" s="5">
        <v>4</v>
      </c>
      <c r="AH203" s="5">
        <v>32</v>
      </c>
    </row>
    <row r="204" spans="1:34" ht="27.75" customHeight="1" thickBot="1" x14ac:dyDescent="0.5">
      <c r="A204" s="81"/>
      <c r="B204" s="49" t="s">
        <v>51</v>
      </c>
      <c r="C204" s="42">
        <v>1</v>
      </c>
      <c r="D204" s="83"/>
      <c r="E204" s="5">
        <v>1.131</v>
      </c>
      <c r="F204" s="5">
        <v>0.89100000000000001</v>
      </c>
      <c r="G204" s="5">
        <v>0.24</v>
      </c>
      <c r="H204" s="5">
        <v>50.7</v>
      </c>
      <c r="I204" s="5">
        <v>32.700000000000003</v>
      </c>
      <c r="J204" s="5">
        <v>16.600000000000001</v>
      </c>
      <c r="K204" s="5">
        <v>111.2</v>
      </c>
      <c r="L204" s="5">
        <v>39.799999999999997</v>
      </c>
      <c r="M204" s="5">
        <v>34.5</v>
      </c>
      <c r="N204" s="5">
        <v>52.7</v>
      </c>
      <c r="O204" s="5">
        <v>0.28199999999999997</v>
      </c>
      <c r="P204" s="5">
        <v>65.599999999999994</v>
      </c>
      <c r="Q204" s="5">
        <v>1.026</v>
      </c>
      <c r="R204" s="5">
        <v>8.1999999999999993</v>
      </c>
      <c r="S204" s="5">
        <v>52.3</v>
      </c>
      <c r="T204" s="5">
        <v>35.700000000000003</v>
      </c>
      <c r="U204" s="5">
        <v>0.753</v>
      </c>
      <c r="V204" s="5">
        <v>14.2</v>
      </c>
      <c r="W204" s="5">
        <v>30.2</v>
      </c>
      <c r="X204" s="5">
        <v>43.4</v>
      </c>
      <c r="Y204" s="5">
        <v>0.09</v>
      </c>
      <c r="Z204" s="5">
        <v>44.9</v>
      </c>
      <c r="AA204" s="5">
        <v>0.122</v>
      </c>
      <c r="AB204" s="5">
        <v>0.16800000000000001</v>
      </c>
      <c r="AC204" s="5">
        <v>0.20899999999999999</v>
      </c>
      <c r="AD204" s="5">
        <v>0.34100000000000003</v>
      </c>
      <c r="AE204" s="5">
        <v>0.42899999999999999</v>
      </c>
      <c r="AF204" s="5">
        <v>30</v>
      </c>
      <c r="AG204" s="5">
        <v>4</v>
      </c>
      <c r="AH204" s="5">
        <v>9</v>
      </c>
    </row>
    <row r="205" spans="1:34" x14ac:dyDescent="0.45">
      <c r="A205" s="76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</row>
    <row r="206" spans="1:34" x14ac:dyDescent="0.45">
      <c r="A206" s="76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</row>
    <row r="207" spans="1:34" x14ac:dyDescent="0.45">
      <c r="A207"/>
      <c r="D207"/>
    </row>
    <row r="208" spans="1:34" x14ac:dyDescent="0.45">
      <c r="A208"/>
      <c r="D208"/>
    </row>
    <row r="209" spans="1:4" x14ac:dyDescent="0.45">
      <c r="A209"/>
      <c r="D209"/>
    </row>
    <row r="210" spans="1:4" x14ac:dyDescent="0.45">
      <c r="A210"/>
      <c r="D210"/>
    </row>
    <row r="211" spans="1:4" x14ac:dyDescent="0.45">
      <c r="A211"/>
      <c r="D211"/>
    </row>
    <row r="212" spans="1:4" x14ac:dyDescent="0.45">
      <c r="A212"/>
      <c r="D212"/>
    </row>
    <row r="213" spans="1:4" x14ac:dyDescent="0.45">
      <c r="A213"/>
      <c r="D213"/>
    </row>
    <row r="214" spans="1:4" x14ac:dyDescent="0.45">
      <c r="A214"/>
      <c r="D214"/>
    </row>
    <row r="215" spans="1:4" x14ac:dyDescent="0.45">
      <c r="A215"/>
      <c r="D215"/>
    </row>
    <row r="216" spans="1:4" x14ac:dyDescent="0.45">
      <c r="A216"/>
      <c r="D216"/>
    </row>
    <row r="217" spans="1:4" x14ac:dyDescent="0.45">
      <c r="A217"/>
      <c r="D217"/>
    </row>
    <row r="218" spans="1:4" x14ac:dyDescent="0.45">
      <c r="A218"/>
      <c r="D218"/>
    </row>
    <row r="219" spans="1:4" x14ac:dyDescent="0.45">
      <c r="A219"/>
      <c r="D219"/>
    </row>
    <row r="220" spans="1:4" x14ac:dyDescent="0.45">
      <c r="A220"/>
      <c r="D220"/>
    </row>
    <row r="221" spans="1:4" x14ac:dyDescent="0.45">
      <c r="A221"/>
      <c r="D221"/>
    </row>
    <row r="222" spans="1:4" x14ac:dyDescent="0.45">
      <c r="A222"/>
      <c r="D222"/>
    </row>
    <row r="223" spans="1:4" x14ac:dyDescent="0.45">
      <c r="A223"/>
      <c r="D223"/>
    </row>
    <row r="224" spans="1:4" x14ac:dyDescent="0.45">
      <c r="A224"/>
      <c r="D224"/>
    </row>
    <row r="225" spans="1:4" x14ac:dyDescent="0.45">
      <c r="A225"/>
      <c r="D225"/>
    </row>
    <row r="226" spans="1:4" x14ac:dyDescent="0.45">
      <c r="A226"/>
      <c r="D226"/>
    </row>
    <row r="227" spans="1:4" x14ac:dyDescent="0.45">
      <c r="A227"/>
      <c r="D227"/>
    </row>
    <row r="228" spans="1:4" x14ac:dyDescent="0.45">
      <c r="A228"/>
      <c r="D228"/>
    </row>
    <row r="229" spans="1:4" x14ac:dyDescent="0.45">
      <c r="A229"/>
      <c r="D229"/>
    </row>
    <row r="230" spans="1:4" x14ac:dyDescent="0.45">
      <c r="A230"/>
      <c r="D230"/>
    </row>
    <row r="231" spans="1:4" x14ac:dyDescent="0.45">
      <c r="A231"/>
      <c r="D231"/>
    </row>
    <row r="232" spans="1:4" x14ac:dyDescent="0.45">
      <c r="A232"/>
      <c r="D232"/>
    </row>
    <row r="233" spans="1:4" x14ac:dyDescent="0.45">
      <c r="A233"/>
      <c r="D233"/>
    </row>
    <row r="234" spans="1:4" x14ac:dyDescent="0.45">
      <c r="A234"/>
      <c r="D234"/>
    </row>
    <row r="235" spans="1:4" x14ac:dyDescent="0.45">
      <c r="A235"/>
      <c r="D235"/>
    </row>
    <row r="236" spans="1:4" x14ac:dyDescent="0.45">
      <c r="A236"/>
      <c r="D236"/>
    </row>
    <row r="237" spans="1:4" x14ac:dyDescent="0.45">
      <c r="A237"/>
      <c r="D237"/>
    </row>
    <row r="238" spans="1:4" x14ac:dyDescent="0.45">
      <c r="A238"/>
      <c r="D238"/>
    </row>
    <row r="239" spans="1:4" x14ac:dyDescent="0.45">
      <c r="A239"/>
      <c r="D239"/>
    </row>
    <row r="240" spans="1:4" x14ac:dyDescent="0.45">
      <c r="A240"/>
      <c r="D240"/>
    </row>
    <row r="241" spans="1:4" x14ac:dyDescent="0.45">
      <c r="A241"/>
      <c r="D241"/>
    </row>
    <row r="242" spans="1:4" x14ac:dyDescent="0.45">
      <c r="A242"/>
      <c r="D242"/>
    </row>
    <row r="243" spans="1:4" x14ac:dyDescent="0.45">
      <c r="A243"/>
      <c r="D243"/>
    </row>
    <row r="244" spans="1:4" x14ac:dyDescent="0.45">
      <c r="A244"/>
      <c r="D244"/>
    </row>
    <row r="245" spans="1:4" x14ac:dyDescent="0.45">
      <c r="A245"/>
      <c r="D245"/>
    </row>
    <row r="246" spans="1:4" x14ac:dyDescent="0.45">
      <c r="A246"/>
      <c r="D246"/>
    </row>
    <row r="247" spans="1:4" x14ac:dyDescent="0.45">
      <c r="A247"/>
      <c r="D247"/>
    </row>
    <row r="248" spans="1:4" x14ac:dyDescent="0.45">
      <c r="A248"/>
      <c r="D248"/>
    </row>
    <row r="249" spans="1:4" x14ac:dyDescent="0.45">
      <c r="A249"/>
      <c r="D249"/>
    </row>
    <row r="250" spans="1:4" x14ac:dyDescent="0.45">
      <c r="A250"/>
      <c r="D250"/>
    </row>
    <row r="251" spans="1:4" x14ac:dyDescent="0.45">
      <c r="A251"/>
      <c r="D251"/>
    </row>
    <row r="252" spans="1:4" x14ac:dyDescent="0.45">
      <c r="A252"/>
      <c r="D252"/>
    </row>
    <row r="253" spans="1:4" x14ac:dyDescent="0.45">
      <c r="A253"/>
      <c r="D253"/>
    </row>
    <row r="254" spans="1:4" x14ac:dyDescent="0.45">
      <c r="A254"/>
      <c r="D254"/>
    </row>
    <row r="255" spans="1:4" x14ac:dyDescent="0.45">
      <c r="A255"/>
      <c r="D255"/>
    </row>
    <row r="256" spans="1:4" x14ac:dyDescent="0.45">
      <c r="A256"/>
      <c r="D256"/>
    </row>
    <row r="257" spans="1:4" x14ac:dyDescent="0.45">
      <c r="A257"/>
      <c r="D257"/>
    </row>
    <row r="258" spans="1:4" x14ac:dyDescent="0.45">
      <c r="A258"/>
      <c r="D258"/>
    </row>
    <row r="259" spans="1:4" x14ac:dyDescent="0.45">
      <c r="A259"/>
      <c r="D259"/>
    </row>
    <row r="260" spans="1:4" x14ac:dyDescent="0.45">
      <c r="A260"/>
      <c r="D260"/>
    </row>
    <row r="261" spans="1:4" x14ac:dyDescent="0.45">
      <c r="A261"/>
      <c r="D261"/>
    </row>
    <row r="262" spans="1:4" x14ac:dyDescent="0.45">
      <c r="A262"/>
      <c r="D262"/>
    </row>
    <row r="263" spans="1:4" x14ac:dyDescent="0.45">
      <c r="A263"/>
      <c r="D263"/>
    </row>
    <row r="264" spans="1:4" x14ac:dyDescent="0.45">
      <c r="A264"/>
      <c r="D264"/>
    </row>
    <row r="265" spans="1:4" x14ac:dyDescent="0.45">
      <c r="A265"/>
      <c r="D265"/>
    </row>
    <row r="266" spans="1:4" x14ac:dyDescent="0.45">
      <c r="A266"/>
      <c r="D266"/>
    </row>
    <row r="267" spans="1:4" x14ac:dyDescent="0.45">
      <c r="A267"/>
      <c r="D267"/>
    </row>
    <row r="268" spans="1:4" x14ac:dyDescent="0.45">
      <c r="A268"/>
      <c r="D268"/>
    </row>
    <row r="269" spans="1:4" x14ac:dyDescent="0.45">
      <c r="A269"/>
      <c r="D269"/>
    </row>
    <row r="270" spans="1:4" x14ac:dyDescent="0.45">
      <c r="A270"/>
      <c r="D270"/>
    </row>
    <row r="271" spans="1:4" x14ac:dyDescent="0.45">
      <c r="A271"/>
      <c r="D271"/>
    </row>
    <row r="272" spans="1:4" x14ac:dyDescent="0.45">
      <c r="A272"/>
      <c r="D272"/>
    </row>
    <row r="273" spans="1:4" x14ac:dyDescent="0.45">
      <c r="A273"/>
      <c r="D273"/>
    </row>
    <row r="274" spans="1:4" x14ac:dyDescent="0.45">
      <c r="A274"/>
      <c r="D274"/>
    </row>
    <row r="275" spans="1:4" x14ac:dyDescent="0.45">
      <c r="A275"/>
      <c r="D275"/>
    </row>
    <row r="276" spans="1:4" x14ac:dyDescent="0.45">
      <c r="A276"/>
      <c r="D276"/>
    </row>
    <row r="277" spans="1:4" x14ac:dyDescent="0.45">
      <c r="A277"/>
      <c r="D277"/>
    </row>
    <row r="278" spans="1:4" x14ac:dyDescent="0.45">
      <c r="A278"/>
      <c r="D278"/>
    </row>
    <row r="279" spans="1:4" x14ac:dyDescent="0.45">
      <c r="A279"/>
      <c r="D279"/>
    </row>
    <row r="280" spans="1:4" x14ac:dyDescent="0.45">
      <c r="A280"/>
      <c r="D280"/>
    </row>
    <row r="281" spans="1:4" x14ac:dyDescent="0.45">
      <c r="A281"/>
      <c r="D281"/>
    </row>
    <row r="282" spans="1:4" x14ac:dyDescent="0.45">
      <c r="A282"/>
      <c r="D282"/>
    </row>
    <row r="283" spans="1:4" x14ac:dyDescent="0.45">
      <c r="A283"/>
      <c r="D283"/>
    </row>
    <row r="284" spans="1:4" x14ac:dyDescent="0.45">
      <c r="A284"/>
      <c r="D284"/>
    </row>
    <row r="285" spans="1:4" x14ac:dyDescent="0.45">
      <c r="A285"/>
      <c r="D285"/>
    </row>
    <row r="286" spans="1:4" x14ac:dyDescent="0.45">
      <c r="A286"/>
      <c r="D286"/>
    </row>
    <row r="287" spans="1:4" x14ac:dyDescent="0.45">
      <c r="A287"/>
      <c r="D287"/>
    </row>
    <row r="288" spans="1:4" x14ac:dyDescent="0.45">
      <c r="A288"/>
      <c r="D288"/>
    </row>
    <row r="289" spans="1:4" x14ac:dyDescent="0.45">
      <c r="A289"/>
      <c r="D289"/>
    </row>
    <row r="290" spans="1:4" x14ac:dyDescent="0.45">
      <c r="A290"/>
      <c r="D290"/>
    </row>
    <row r="291" spans="1:4" x14ac:dyDescent="0.45">
      <c r="A291"/>
      <c r="D291"/>
    </row>
    <row r="292" spans="1:4" x14ac:dyDescent="0.45">
      <c r="A292"/>
      <c r="D292"/>
    </row>
    <row r="293" spans="1:4" x14ac:dyDescent="0.45">
      <c r="A293"/>
      <c r="D293"/>
    </row>
    <row r="294" spans="1:4" x14ac:dyDescent="0.45">
      <c r="A294"/>
      <c r="D294"/>
    </row>
    <row r="295" spans="1:4" x14ac:dyDescent="0.45">
      <c r="A295"/>
      <c r="D295"/>
    </row>
    <row r="296" spans="1:4" x14ac:dyDescent="0.45">
      <c r="A296"/>
      <c r="D296"/>
    </row>
    <row r="297" spans="1:4" x14ac:dyDescent="0.45">
      <c r="A297"/>
      <c r="D297"/>
    </row>
    <row r="298" spans="1:4" x14ac:dyDescent="0.45">
      <c r="A298"/>
      <c r="D298"/>
    </row>
    <row r="299" spans="1:4" x14ac:dyDescent="0.45">
      <c r="A299"/>
      <c r="D299"/>
    </row>
    <row r="300" spans="1:4" x14ac:dyDescent="0.45">
      <c r="A300"/>
      <c r="D300"/>
    </row>
    <row r="301" spans="1:4" x14ac:dyDescent="0.45">
      <c r="A301"/>
      <c r="D301"/>
    </row>
    <row r="302" spans="1:4" x14ac:dyDescent="0.45">
      <c r="A302"/>
      <c r="D302"/>
    </row>
    <row r="303" spans="1:4" x14ac:dyDescent="0.45">
      <c r="A303"/>
      <c r="D303"/>
    </row>
    <row r="304" spans="1:4" x14ac:dyDescent="0.45">
      <c r="A304"/>
      <c r="D304"/>
    </row>
    <row r="305" spans="1:4" x14ac:dyDescent="0.45">
      <c r="A305"/>
      <c r="D305"/>
    </row>
    <row r="306" spans="1:4" x14ac:dyDescent="0.45">
      <c r="A306"/>
      <c r="D306"/>
    </row>
    <row r="307" spans="1:4" x14ac:dyDescent="0.45">
      <c r="A307"/>
      <c r="D307"/>
    </row>
    <row r="308" spans="1:4" x14ac:dyDescent="0.45">
      <c r="A308"/>
      <c r="D308"/>
    </row>
    <row r="309" spans="1:4" x14ac:dyDescent="0.45">
      <c r="A309"/>
      <c r="D309"/>
    </row>
    <row r="310" spans="1:4" x14ac:dyDescent="0.45">
      <c r="A310"/>
      <c r="D310"/>
    </row>
    <row r="311" spans="1:4" x14ac:dyDescent="0.45">
      <c r="A311"/>
      <c r="D311"/>
    </row>
    <row r="312" spans="1:4" x14ac:dyDescent="0.45">
      <c r="A312"/>
      <c r="D312"/>
    </row>
    <row r="313" spans="1:4" x14ac:dyDescent="0.45">
      <c r="A313"/>
      <c r="D313"/>
    </row>
    <row r="314" spans="1:4" x14ac:dyDescent="0.45">
      <c r="A314"/>
      <c r="D314"/>
    </row>
    <row r="315" spans="1:4" x14ac:dyDescent="0.45">
      <c r="A315"/>
      <c r="D315"/>
    </row>
    <row r="316" spans="1:4" x14ac:dyDescent="0.45">
      <c r="A316"/>
      <c r="D316"/>
    </row>
    <row r="317" spans="1:4" x14ac:dyDescent="0.45">
      <c r="A317"/>
      <c r="D317"/>
    </row>
    <row r="318" spans="1:4" x14ac:dyDescent="0.45">
      <c r="A318"/>
      <c r="D318"/>
    </row>
    <row r="319" spans="1:4" x14ac:dyDescent="0.45">
      <c r="A319"/>
      <c r="D319"/>
    </row>
    <row r="320" spans="1:4" x14ac:dyDescent="0.45">
      <c r="A320"/>
      <c r="D320"/>
    </row>
    <row r="321" spans="1:4" x14ac:dyDescent="0.45">
      <c r="A321"/>
      <c r="D321"/>
    </row>
    <row r="322" spans="1:4" x14ac:dyDescent="0.45">
      <c r="A322"/>
      <c r="D322"/>
    </row>
    <row r="323" spans="1:4" x14ac:dyDescent="0.45">
      <c r="A323"/>
      <c r="D323"/>
    </row>
    <row r="324" spans="1:4" x14ac:dyDescent="0.45">
      <c r="A324"/>
      <c r="D324"/>
    </row>
    <row r="325" spans="1:4" x14ac:dyDescent="0.45">
      <c r="A325"/>
      <c r="D325"/>
    </row>
    <row r="326" spans="1:4" x14ac:dyDescent="0.45">
      <c r="A326"/>
      <c r="D326"/>
    </row>
    <row r="327" spans="1:4" x14ac:dyDescent="0.45">
      <c r="A327"/>
      <c r="D327"/>
    </row>
    <row r="328" spans="1:4" x14ac:dyDescent="0.45">
      <c r="A328"/>
      <c r="D328"/>
    </row>
    <row r="329" spans="1:4" x14ac:dyDescent="0.45">
      <c r="A329"/>
      <c r="D329"/>
    </row>
    <row r="330" spans="1:4" x14ac:dyDescent="0.45">
      <c r="A330"/>
      <c r="D330"/>
    </row>
    <row r="331" spans="1:4" x14ac:dyDescent="0.45">
      <c r="A331"/>
      <c r="D331"/>
    </row>
    <row r="332" spans="1:4" x14ac:dyDescent="0.45">
      <c r="A332"/>
      <c r="D332"/>
    </row>
    <row r="333" spans="1:4" x14ac:dyDescent="0.45">
      <c r="A333"/>
      <c r="D333"/>
    </row>
    <row r="334" spans="1:4" x14ac:dyDescent="0.45">
      <c r="A334"/>
      <c r="D334"/>
    </row>
    <row r="335" spans="1:4" x14ac:dyDescent="0.45">
      <c r="A335"/>
      <c r="D335"/>
    </row>
    <row r="336" spans="1:4" x14ac:dyDescent="0.45">
      <c r="A336"/>
      <c r="D336"/>
    </row>
    <row r="337" spans="1:4" x14ac:dyDescent="0.45">
      <c r="A337"/>
      <c r="D337"/>
    </row>
    <row r="338" spans="1:4" x14ac:dyDescent="0.45">
      <c r="A338"/>
      <c r="D338"/>
    </row>
    <row r="339" spans="1:4" x14ac:dyDescent="0.45">
      <c r="A339"/>
      <c r="D339"/>
    </row>
    <row r="340" spans="1:4" x14ac:dyDescent="0.45">
      <c r="A340"/>
      <c r="D340"/>
    </row>
    <row r="341" spans="1:4" x14ac:dyDescent="0.45">
      <c r="A341"/>
      <c r="D341"/>
    </row>
    <row r="342" spans="1:4" x14ac:dyDescent="0.45">
      <c r="A342"/>
      <c r="D342"/>
    </row>
    <row r="343" spans="1:4" x14ac:dyDescent="0.45">
      <c r="A343"/>
      <c r="D343"/>
    </row>
    <row r="344" spans="1:4" x14ac:dyDescent="0.45">
      <c r="A344"/>
      <c r="D344"/>
    </row>
    <row r="345" spans="1:4" x14ac:dyDescent="0.45">
      <c r="A345"/>
      <c r="D345"/>
    </row>
    <row r="346" spans="1:4" x14ac:dyDescent="0.45">
      <c r="A346"/>
      <c r="D346"/>
    </row>
    <row r="347" spans="1:4" x14ac:dyDescent="0.45">
      <c r="A347"/>
      <c r="D347"/>
    </row>
    <row r="348" spans="1:4" x14ac:dyDescent="0.45">
      <c r="A348"/>
      <c r="D348"/>
    </row>
    <row r="349" spans="1:4" x14ac:dyDescent="0.45">
      <c r="A349"/>
      <c r="D349"/>
    </row>
    <row r="350" spans="1:4" x14ac:dyDescent="0.45">
      <c r="A350"/>
      <c r="D350"/>
    </row>
    <row r="351" spans="1:4" x14ac:dyDescent="0.45">
      <c r="A351"/>
      <c r="D351"/>
    </row>
    <row r="352" spans="1:4" x14ac:dyDescent="0.45">
      <c r="A352"/>
      <c r="D352"/>
    </row>
    <row r="353" spans="1:4" x14ac:dyDescent="0.45">
      <c r="A353"/>
      <c r="D353"/>
    </row>
    <row r="354" spans="1:4" x14ac:dyDescent="0.45">
      <c r="A354"/>
      <c r="D354"/>
    </row>
    <row r="355" spans="1:4" x14ac:dyDescent="0.45">
      <c r="A355"/>
      <c r="D355"/>
    </row>
    <row r="356" spans="1:4" x14ac:dyDescent="0.45">
      <c r="A356"/>
      <c r="D356"/>
    </row>
    <row r="357" spans="1:4" x14ac:dyDescent="0.45">
      <c r="A357"/>
      <c r="D357"/>
    </row>
    <row r="358" spans="1:4" x14ac:dyDescent="0.45">
      <c r="A358"/>
      <c r="D358"/>
    </row>
    <row r="359" spans="1:4" x14ac:dyDescent="0.45">
      <c r="A359"/>
      <c r="D359"/>
    </row>
    <row r="360" spans="1:4" x14ac:dyDescent="0.45">
      <c r="A360"/>
      <c r="D360"/>
    </row>
    <row r="361" spans="1:4" x14ac:dyDescent="0.45">
      <c r="A361"/>
      <c r="D361"/>
    </row>
    <row r="362" spans="1:4" x14ac:dyDescent="0.45">
      <c r="A362"/>
      <c r="D362"/>
    </row>
    <row r="363" spans="1:4" x14ac:dyDescent="0.45">
      <c r="A363"/>
      <c r="D363"/>
    </row>
    <row r="364" spans="1:4" x14ac:dyDescent="0.45">
      <c r="A364"/>
      <c r="D364"/>
    </row>
    <row r="365" spans="1:4" x14ac:dyDescent="0.45">
      <c r="A365"/>
      <c r="D365"/>
    </row>
    <row r="366" spans="1:4" x14ac:dyDescent="0.45">
      <c r="A366"/>
      <c r="D366"/>
    </row>
    <row r="367" spans="1:4" x14ac:dyDescent="0.45">
      <c r="A367"/>
      <c r="D367"/>
    </row>
    <row r="368" spans="1:4" x14ac:dyDescent="0.45">
      <c r="A368"/>
      <c r="D368"/>
    </row>
    <row r="369" spans="1:4" x14ac:dyDescent="0.45">
      <c r="A369"/>
      <c r="D369"/>
    </row>
    <row r="370" spans="1:4" x14ac:dyDescent="0.45">
      <c r="A370"/>
      <c r="D370"/>
    </row>
    <row r="371" spans="1:4" x14ac:dyDescent="0.45">
      <c r="A371"/>
      <c r="D371"/>
    </row>
    <row r="372" spans="1:4" x14ac:dyDescent="0.45">
      <c r="A372"/>
      <c r="D372"/>
    </row>
    <row r="373" spans="1:4" x14ac:dyDescent="0.45">
      <c r="A373"/>
      <c r="D373"/>
    </row>
    <row r="374" spans="1:4" x14ac:dyDescent="0.45">
      <c r="A374"/>
      <c r="D374"/>
    </row>
    <row r="375" spans="1:4" x14ac:dyDescent="0.45">
      <c r="A375"/>
      <c r="D375"/>
    </row>
    <row r="376" spans="1:4" x14ac:dyDescent="0.45">
      <c r="A376"/>
      <c r="D376"/>
    </row>
    <row r="377" spans="1:4" x14ac:dyDescent="0.45">
      <c r="A377"/>
      <c r="D377"/>
    </row>
    <row r="378" spans="1:4" x14ac:dyDescent="0.45">
      <c r="A378"/>
      <c r="D378"/>
    </row>
    <row r="379" spans="1:4" x14ac:dyDescent="0.45">
      <c r="A379"/>
      <c r="D379"/>
    </row>
    <row r="380" spans="1:4" x14ac:dyDescent="0.45">
      <c r="A380"/>
      <c r="D380"/>
    </row>
    <row r="381" spans="1:4" x14ac:dyDescent="0.45">
      <c r="A381"/>
      <c r="D381"/>
    </row>
    <row r="382" spans="1:4" x14ac:dyDescent="0.45">
      <c r="A382"/>
      <c r="D382"/>
    </row>
    <row r="383" spans="1:4" x14ac:dyDescent="0.45">
      <c r="A383"/>
      <c r="D383"/>
    </row>
    <row r="384" spans="1:4" x14ac:dyDescent="0.45">
      <c r="A384"/>
      <c r="D384"/>
    </row>
    <row r="385" spans="1:4" x14ac:dyDescent="0.45">
      <c r="A385"/>
      <c r="D385"/>
    </row>
    <row r="386" spans="1:4" x14ac:dyDescent="0.45">
      <c r="A386"/>
      <c r="D386"/>
    </row>
    <row r="387" spans="1:4" x14ac:dyDescent="0.45">
      <c r="A387"/>
      <c r="D387"/>
    </row>
    <row r="388" spans="1:4" x14ac:dyDescent="0.45">
      <c r="A388"/>
      <c r="D388"/>
    </row>
    <row r="389" spans="1:4" x14ac:dyDescent="0.45">
      <c r="A389"/>
      <c r="D389"/>
    </row>
    <row r="390" spans="1:4" x14ac:dyDescent="0.45">
      <c r="A390"/>
      <c r="D390"/>
    </row>
    <row r="391" spans="1:4" x14ac:dyDescent="0.45">
      <c r="A391"/>
      <c r="D391"/>
    </row>
    <row r="392" spans="1:4" x14ac:dyDescent="0.45">
      <c r="A392"/>
      <c r="D392"/>
    </row>
    <row r="393" spans="1:4" x14ac:dyDescent="0.45">
      <c r="A393"/>
      <c r="D393"/>
    </row>
    <row r="394" spans="1:4" x14ac:dyDescent="0.45">
      <c r="A394"/>
      <c r="D394"/>
    </row>
    <row r="395" spans="1:4" x14ac:dyDescent="0.45">
      <c r="A395"/>
      <c r="D395"/>
    </row>
    <row r="396" spans="1:4" x14ac:dyDescent="0.45">
      <c r="A396"/>
      <c r="D396"/>
    </row>
    <row r="397" spans="1:4" x14ac:dyDescent="0.45">
      <c r="A397"/>
      <c r="D397"/>
    </row>
    <row r="398" spans="1:4" x14ac:dyDescent="0.45">
      <c r="A398"/>
      <c r="D398"/>
    </row>
    <row r="399" spans="1:4" x14ac:dyDescent="0.45">
      <c r="A399"/>
      <c r="D399"/>
    </row>
    <row r="400" spans="1:4" x14ac:dyDescent="0.45">
      <c r="A400"/>
      <c r="D400"/>
    </row>
    <row r="401" spans="1:4" x14ac:dyDescent="0.45">
      <c r="A401"/>
      <c r="D401"/>
    </row>
    <row r="402" spans="1:4" x14ac:dyDescent="0.45">
      <c r="A402"/>
      <c r="D402"/>
    </row>
    <row r="403" spans="1:4" x14ac:dyDescent="0.45">
      <c r="A403"/>
      <c r="D403"/>
    </row>
    <row r="404" spans="1:4" x14ac:dyDescent="0.45">
      <c r="A404"/>
      <c r="D404"/>
    </row>
    <row r="405" spans="1:4" x14ac:dyDescent="0.45">
      <c r="A405"/>
      <c r="D405"/>
    </row>
    <row r="406" spans="1:4" x14ac:dyDescent="0.45">
      <c r="A406"/>
      <c r="D406"/>
    </row>
    <row r="407" spans="1:4" x14ac:dyDescent="0.45">
      <c r="A407"/>
      <c r="D407"/>
    </row>
    <row r="408" spans="1:4" x14ac:dyDescent="0.45">
      <c r="A408"/>
      <c r="D408"/>
    </row>
    <row r="409" spans="1:4" x14ac:dyDescent="0.45">
      <c r="A409"/>
      <c r="D409"/>
    </row>
    <row r="410" spans="1:4" x14ac:dyDescent="0.45">
      <c r="A410"/>
      <c r="D410"/>
    </row>
    <row r="411" spans="1:4" x14ac:dyDescent="0.45">
      <c r="A411"/>
      <c r="D411"/>
    </row>
    <row r="412" spans="1:4" x14ac:dyDescent="0.45">
      <c r="A412"/>
      <c r="D412"/>
    </row>
    <row r="413" spans="1:4" x14ac:dyDescent="0.45">
      <c r="A413"/>
      <c r="D413"/>
    </row>
    <row r="414" spans="1:4" x14ac:dyDescent="0.45">
      <c r="A414"/>
      <c r="D414"/>
    </row>
    <row r="415" spans="1:4" x14ac:dyDescent="0.45">
      <c r="A415"/>
      <c r="D415"/>
    </row>
    <row r="416" spans="1:4" x14ac:dyDescent="0.45">
      <c r="A416"/>
      <c r="D416"/>
    </row>
    <row r="417" spans="1:4" x14ac:dyDescent="0.45">
      <c r="A417"/>
      <c r="D417"/>
    </row>
    <row r="418" spans="1:4" x14ac:dyDescent="0.45">
      <c r="A418"/>
      <c r="D418"/>
    </row>
    <row r="419" spans="1:4" x14ac:dyDescent="0.45">
      <c r="A419"/>
      <c r="D419"/>
    </row>
    <row r="420" spans="1:4" x14ac:dyDescent="0.45">
      <c r="A420"/>
      <c r="D420"/>
    </row>
    <row r="421" spans="1:4" x14ac:dyDescent="0.45">
      <c r="A421"/>
      <c r="D421"/>
    </row>
    <row r="422" spans="1:4" x14ac:dyDescent="0.45">
      <c r="A422"/>
      <c r="D422"/>
    </row>
    <row r="423" spans="1:4" x14ac:dyDescent="0.45">
      <c r="A423"/>
      <c r="D423"/>
    </row>
    <row r="424" spans="1:4" x14ac:dyDescent="0.45">
      <c r="A424"/>
      <c r="D424"/>
    </row>
    <row r="425" spans="1:4" x14ac:dyDescent="0.45">
      <c r="A425"/>
      <c r="D425"/>
    </row>
    <row r="426" spans="1:4" x14ac:dyDescent="0.45">
      <c r="A426"/>
      <c r="D426"/>
    </row>
    <row r="427" spans="1:4" x14ac:dyDescent="0.45">
      <c r="A427"/>
      <c r="D427"/>
    </row>
    <row r="428" spans="1:4" x14ac:dyDescent="0.45">
      <c r="A428"/>
      <c r="D428"/>
    </row>
    <row r="429" spans="1:4" x14ac:dyDescent="0.45">
      <c r="A429"/>
      <c r="D429"/>
    </row>
    <row r="430" spans="1:4" x14ac:dyDescent="0.45">
      <c r="A430"/>
      <c r="D430"/>
    </row>
    <row r="431" spans="1:4" x14ac:dyDescent="0.45">
      <c r="A431"/>
      <c r="D431"/>
    </row>
    <row r="432" spans="1:4" x14ac:dyDescent="0.45">
      <c r="A432"/>
      <c r="D432"/>
    </row>
    <row r="433" spans="1:4" x14ac:dyDescent="0.45">
      <c r="A433"/>
      <c r="D433"/>
    </row>
    <row r="434" spans="1:4" x14ac:dyDescent="0.45">
      <c r="A434"/>
      <c r="D434"/>
    </row>
    <row r="435" spans="1:4" x14ac:dyDescent="0.45">
      <c r="A435"/>
      <c r="D435"/>
    </row>
    <row r="436" spans="1:4" x14ac:dyDescent="0.45">
      <c r="A436"/>
      <c r="D436"/>
    </row>
    <row r="437" spans="1:4" x14ac:dyDescent="0.45">
      <c r="A437"/>
      <c r="D437"/>
    </row>
    <row r="438" spans="1:4" x14ac:dyDescent="0.45">
      <c r="A438"/>
      <c r="D438"/>
    </row>
    <row r="439" spans="1:4" x14ac:dyDescent="0.45">
      <c r="A439"/>
      <c r="D439"/>
    </row>
    <row r="440" spans="1:4" x14ac:dyDescent="0.45">
      <c r="A440"/>
      <c r="D440"/>
    </row>
    <row r="441" spans="1:4" x14ac:dyDescent="0.45">
      <c r="A441"/>
      <c r="D441"/>
    </row>
    <row r="442" spans="1:4" x14ac:dyDescent="0.45">
      <c r="A442"/>
      <c r="D442"/>
    </row>
    <row r="443" spans="1:4" x14ac:dyDescent="0.45">
      <c r="A443"/>
      <c r="D443"/>
    </row>
    <row r="444" spans="1:4" x14ac:dyDescent="0.45">
      <c r="A444"/>
      <c r="D444"/>
    </row>
    <row r="445" spans="1:4" x14ac:dyDescent="0.45">
      <c r="A445"/>
      <c r="D445"/>
    </row>
    <row r="446" spans="1:4" x14ac:dyDescent="0.45">
      <c r="A446"/>
      <c r="D446"/>
    </row>
    <row r="447" spans="1:4" x14ac:dyDescent="0.45">
      <c r="A447"/>
      <c r="D447"/>
    </row>
    <row r="448" spans="1:4" x14ac:dyDescent="0.45">
      <c r="A448"/>
      <c r="D448"/>
    </row>
    <row r="449" spans="1:4" x14ac:dyDescent="0.45">
      <c r="A449"/>
      <c r="D449"/>
    </row>
    <row r="450" spans="1:4" x14ac:dyDescent="0.45">
      <c r="A450"/>
      <c r="D450"/>
    </row>
    <row r="451" spans="1:4" x14ac:dyDescent="0.45">
      <c r="A451"/>
      <c r="D451"/>
    </row>
    <row r="452" spans="1:4" x14ac:dyDescent="0.45">
      <c r="A452"/>
      <c r="D452"/>
    </row>
    <row r="453" spans="1:4" x14ac:dyDescent="0.45">
      <c r="A453"/>
      <c r="D453"/>
    </row>
    <row r="454" spans="1:4" x14ac:dyDescent="0.45">
      <c r="A454"/>
      <c r="D454"/>
    </row>
    <row r="455" spans="1:4" x14ac:dyDescent="0.45">
      <c r="A455"/>
      <c r="D455"/>
    </row>
    <row r="456" spans="1:4" x14ac:dyDescent="0.45">
      <c r="A456"/>
      <c r="D456"/>
    </row>
    <row r="457" spans="1:4" x14ac:dyDescent="0.45">
      <c r="A457"/>
      <c r="D457"/>
    </row>
    <row r="458" spans="1:4" x14ac:dyDescent="0.45">
      <c r="A458"/>
      <c r="D458"/>
    </row>
    <row r="459" spans="1:4" x14ac:dyDescent="0.45">
      <c r="A459"/>
      <c r="D459"/>
    </row>
    <row r="460" spans="1:4" x14ac:dyDescent="0.45">
      <c r="A460"/>
      <c r="D460"/>
    </row>
    <row r="461" spans="1:4" x14ac:dyDescent="0.45">
      <c r="A461"/>
      <c r="D461"/>
    </row>
    <row r="462" spans="1:4" x14ac:dyDescent="0.45">
      <c r="A462"/>
      <c r="D462"/>
    </row>
    <row r="463" spans="1:4" x14ac:dyDescent="0.45">
      <c r="A463"/>
      <c r="D463"/>
    </row>
    <row r="464" spans="1:4" x14ac:dyDescent="0.45">
      <c r="A464"/>
      <c r="D464"/>
    </row>
    <row r="465" spans="1:4" x14ac:dyDescent="0.45">
      <c r="A465"/>
      <c r="D465"/>
    </row>
    <row r="466" spans="1:4" x14ac:dyDescent="0.45">
      <c r="A466"/>
      <c r="D466"/>
    </row>
    <row r="467" spans="1:4" x14ac:dyDescent="0.45">
      <c r="A467"/>
      <c r="D467"/>
    </row>
    <row r="468" spans="1:4" x14ac:dyDescent="0.45">
      <c r="A468"/>
      <c r="D468"/>
    </row>
    <row r="469" spans="1:4" x14ac:dyDescent="0.45">
      <c r="A469"/>
      <c r="D469"/>
    </row>
    <row r="470" spans="1:4" x14ac:dyDescent="0.45">
      <c r="A470"/>
      <c r="D470"/>
    </row>
    <row r="471" spans="1:4" x14ac:dyDescent="0.45">
      <c r="A471"/>
      <c r="D471"/>
    </row>
    <row r="472" spans="1:4" x14ac:dyDescent="0.45">
      <c r="A472"/>
      <c r="D472"/>
    </row>
    <row r="473" spans="1:4" x14ac:dyDescent="0.45">
      <c r="A473"/>
      <c r="D473"/>
    </row>
    <row r="474" spans="1:4" x14ac:dyDescent="0.45">
      <c r="A474"/>
      <c r="D474"/>
    </row>
    <row r="475" spans="1:4" x14ac:dyDescent="0.45">
      <c r="A475"/>
      <c r="D475"/>
    </row>
    <row r="476" spans="1:4" x14ac:dyDescent="0.45">
      <c r="A476"/>
      <c r="D476"/>
    </row>
    <row r="477" spans="1:4" x14ac:dyDescent="0.45">
      <c r="A477"/>
      <c r="D477"/>
    </row>
    <row r="478" spans="1:4" x14ac:dyDescent="0.45">
      <c r="A478"/>
      <c r="D478"/>
    </row>
    <row r="479" spans="1:4" x14ac:dyDescent="0.45">
      <c r="A479"/>
      <c r="D479"/>
    </row>
    <row r="480" spans="1:4" x14ac:dyDescent="0.45">
      <c r="A480"/>
      <c r="D480"/>
    </row>
    <row r="481" spans="1:4" x14ac:dyDescent="0.45">
      <c r="A481"/>
      <c r="D481"/>
    </row>
    <row r="482" spans="1:4" x14ac:dyDescent="0.45">
      <c r="A482"/>
      <c r="D482"/>
    </row>
    <row r="483" spans="1:4" x14ac:dyDescent="0.45">
      <c r="A483"/>
      <c r="D483"/>
    </row>
    <row r="484" spans="1:4" x14ac:dyDescent="0.45">
      <c r="A484"/>
      <c r="D484"/>
    </row>
    <row r="485" spans="1:4" x14ac:dyDescent="0.45">
      <c r="A485"/>
      <c r="D485"/>
    </row>
    <row r="486" spans="1:4" x14ac:dyDescent="0.45">
      <c r="A486"/>
      <c r="D486"/>
    </row>
    <row r="487" spans="1:4" x14ac:dyDescent="0.45">
      <c r="A487"/>
      <c r="D487"/>
    </row>
    <row r="488" spans="1:4" x14ac:dyDescent="0.45">
      <c r="A488"/>
      <c r="D488"/>
    </row>
    <row r="489" spans="1:4" x14ac:dyDescent="0.45">
      <c r="A489"/>
      <c r="D489"/>
    </row>
    <row r="490" spans="1:4" x14ac:dyDescent="0.45">
      <c r="A490"/>
      <c r="D490"/>
    </row>
    <row r="491" spans="1:4" x14ac:dyDescent="0.45">
      <c r="A491"/>
      <c r="D491"/>
    </row>
    <row r="492" spans="1:4" x14ac:dyDescent="0.45">
      <c r="A492"/>
      <c r="D492"/>
    </row>
    <row r="493" spans="1:4" x14ac:dyDescent="0.45">
      <c r="A493"/>
      <c r="D493"/>
    </row>
    <row r="494" spans="1:4" x14ac:dyDescent="0.45">
      <c r="A494"/>
      <c r="D494"/>
    </row>
    <row r="495" spans="1:4" x14ac:dyDescent="0.45">
      <c r="A495"/>
      <c r="D495"/>
    </row>
    <row r="496" spans="1:4" x14ac:dyDescent="0.45">
      <c r="A496"/>
      <c r="D496"/>
    </row>
    <row r="497" spans="1:4" x14ac:dyDescent="0.45">
      <c r="A497"/>
      <c r="D497"/>
    </row>
    <row r="498" spans="1:4" x14ac:dyDescent="0.45">
      <c r="A498"/>
      <c r="D498"/>
    </row>
    <row r="499" spans="1:4" x14ac:dyDescent="0.45">
      <c r="A499"/>
      <c r="D499"/>
    </row>
    <row r="500" spans="1:4" x14ac:dyDescent="0.45">
      <c r="A500"/>
      <c r="D500"/>
    </row>
    <row r="501" spans="1:4" x14ac:dyDescent="0.45">
      <c r="A501"/>
      <c r="D501"/>
    </row>
    <row r="502" spans="1:4" x14ac:dyDescent="0.45">
      <c r="A502"/>
      <c r="D502"/>
    </row>
    <row r="503" spans="1:4" x14ac:dyDescent="0.45">
      <c r="A503"/>
      <c r="D503"/>
    </row>
    <row r="504" spans="1:4" x14ac:dyDescent="0.45">
      <c r="A504"/>
      <c r="D504"/>
    </row>
    <row r="505" spans="1:4" x14ac:dyDescent="0.45">
      <c r="A505"/>
      <c r="D505"/>
    </row>
    <row r="506" spans="1:4" x14ac:dyDescent="0.45">
      <c r="A506"/>
      <c r="D506"/>
    </row>
    <row r="507" spans="1:4" x14ac:dyDescent="0.45">
      <c r="A507"/>
      <c r="D507"/>
    </row>
    <row r="508" spans="1:4" x14ac:dyDescent="0.45">
      <c r="A508"/>
      <c r="D508"/>
    </row>
    <row r="509" spans="1:4" x14ac:dyDescent="0.45">
      <c r="A509"/>
      <c r="D509"/>
    </row>
    <row r="510" spans="1:4" x14ac:dyDescent="0.45">
      <c r="A510"/>
      <c r="D510"/>
    </row>
    <row r="511" spans="1:4" x14ac:dyDescent="0.45">
      <c r="A511"/>
      <c r="D511"/>
    </row>
    <row r="512" spans="1:4" x14ac:dyDescent="0.45">
      <c r="A512"/>
      <c r="D512"/>
    </row>
    <row r="513" spans="1:4" x14ac:dyDescent="0.45">
      <c r="A513"/>
      <c r="D513"/>
    </row>
    <row r="514" spans="1:4" x14ac:dyDescent="0.45">
      <c r="A514"/>
      <c r="D514"/>
    </row>
    <row r="515" spans="1:4" x14ac:dyDescent="0.45">
      <c r="A515"/>
      <c r="D515"/>
    </row>
    <row r="516" spans="1:4" x14ac:dyDescent="0.45">
      <c r="A516"/>
      <c r="D516"/>
    </row>
    <row r="517" spans="1:4" x14ac:dyDescent="0.45">
      <c r="A517"/>
      <c r="D517"/>
    </row>
    <row r="518" spans="1:4" x14ac:dyDescent="0.45">
      <c r="A518"/>
      <c r="D518"/>
    </row>
    <row r="519" spans="1:4" x14ac:dyDescent="0.45">
      <c r="A519"/>
      <c r="D519"/>
    </row>
    <row r="520" spans="1:4" x14ac:dyDescent="0.45">
      <c r="A520"/>
      <c r="D520"/>
    </row>
    <row r="521" spans="1:4" x14ac:dyDescent="0.45">
      <c r="A521"/>
      <c r="D521"/>
    </row>
    <row r="522" spans="1:4" x14ac:dyDescent="0.45">
      <c r="A522"/>
      <c r="D522"/>
    </row>
    <row r="523" spans="1:4" x14ac:dyDescent="0.45">
      <c r="A523"/>
      <c r="D523"/>
    </row>
    <row r="524" spans="1:4" x14ac:dyDescent="0.45">
      <c r="A524"/>
      <c r="D524"/>
    </row>
    <row r="525" spans="1:4" x14ac:dyDescent="0.45">
      <c r="A525"/>
      <c r="D525"/>
    </row>
    <row r="526" spans="1:4" x14ac:dyDescent="0.45">
      <c r="A526"/>
      <c r="D526"/>
    </row>
    <row r="527" spans="1:4" x14ac:dyDescent="0.45">
      <c r="A527"/>
      <c r="D527"/>
    </row>
    <row r="528" spans="1:4" x14ac:dyDescent="0.45">
      <c r="A528"/>
      <c r="D528"/>
    </row>
    <row r="529" spans="1:4" x14ac:dyDescent="0.45">
      <c r="A529"/>
      <c r="D529"/>
    </row>
    <row r="530" spans="1:4" x14ac:dyDescent="0.45">
      <c r="A530"/>
      <c r="D530"/>
    </row>
    <row r="531" spans="1:4" x14ac:dyDescent="0.45">
      <c r="A531"/>
      <c r="D531"/>
    </row>
    <row r="532" spans="1:4" x14ac:dyDescent="0.45">
      <c r="A532"/>
      <c r="D532"/>
    </row>
    <row r="533" spans="1:4" x14ac:dyDescent="0.45">
      <c r="A533"/>
      <c r="D533"/>
    </row>
    <row r="534" spans="1:4" x14ac:dyDescent="0.45">
      <c r="A534"/>
      <c r="D534"/>
    </row>
    <row r="535" spans="1:4" x14ac:dyDescent="0.45">
      <c r="A535"/>
      <c r="D535"/>
    </row>
    <row r="536" spans="1:4" x14ac:dyDescent="0.45">
      <c r="A536"/>
      <c r="D536"/>
    </row>
    <row r="537" spans="1:4" x14ac:dyDescent="0.45">
      <c r="A537"/>
      <c r="D537"/>
    </row>
    <row r="538" spans="1:4" x14ac:dyDescent="0.45">
      <c r="A538"/>
      <c r="D538"/>
    </row>
    <row r="539" spans="1:4" x14ac:dyDescent="0.45">
      <c r="A539"/>
      <c r="D539"/>
    </row>
    <row r="540" spans="1:4" x14ac:dyDescent="0.45">
      <c r="A540"/>
      <c r="D540"/>
    </row>
    <row r="541" spans="1:4" x14ac:dyDescent="0.45">
      <c r="A541"/>
      <c r="D541"/>
    </row>
    <row r="542" spans="1:4" x14ac:dyDescent="0.45">
      <c r="A542"/>
      <c r="D542"/>
    </row>
    <row r="543" spans="1:4" x14ac:dyDescent="0.45">
      <c r="A543"/>
      <c r="D543"/>
    </row>
    <row r="544" spans="1:4" x14ac:dyDescent="0.45">
      <c r="A544"/>
      <c r="D544"/>
    </row>
    <row r="545" spans="1:4" x14ac:dyDescent="0.45">
      <c r="A545"/>
      <c r="D545"/>
    </row>
    <row r="546" spans="1:4" x14ac:dyDescent="0.45">
      <c r="A546"/>
      <c r="D546"/>
    </row>
    <row r="547" spans="1:4" x14ac:dyDescent="0.45">
      <c r="A547"/>
      <c r="D547"/>
    </row>
    <row r="548" spans="1:4" x14ac:dyDescent="0.45">
      <c r="A548"/>
      <c r="D548"/>
    </row>
    <row r="549" spans="1:4" x14ac:dyDescent="0.45">
      <c r="A549"/>
      <c r="D549"/>
    </row>
    <row r="550" spans="1:4" x14ac:dyDescent="0.45">
      <c r="A550"/>
      <c r="D550"/>
    </row>
    <row r="551" spans="1:4" x14ac:dyDescent="0.45">
      <c r="A551"/>
      <c r="D551"/>
    </row>
    <row r="552" spans="1:4" x14ac:dyDescent="0.45">
      <c r="A552"/>
      <c r="D552"/>
    </row>
    <row r="553" spans="1:4" x14ac:dyDescent="0.45">
      <c r="A553"/>
      <c r="D553"/>
    </row>
    <row r="554" spans="1:4" x14ac:dyDescent="0.45">
      <c r="A554"/>
      <c r="D554"/>
    </row>
    <row r="555" spans="1:4" x14ac:dyDescent="0.45">
      <c r="A555"/>
      <c r="D555"/>
    </row>
    <row r="556" spans="1:4" x14ac:dyDescent="0.45">
      <c r="A556"/>
      <c r="D556"/>
    </row>
    <row r="557" spans="1:4" x14ac:dyDescent="0.45">
      <c r="A557"/>
      <c r="D557"/>
    </row>
    <row r="558" spans="1:4" x14ac:dyDescent="0.45">
      <c r="A558"/>
      <c r="D558"/>
    </row>
    <row r="559" spans="1:4" x14ac:dyDescent="0.45">
      <c r="A559"/>
      <c r="D559"/>
    </row>
    <row r="560" spans="1:4" x14ac:dyDescent="0.45">
      <c r="A560"/>
      <c r="D560"/>
    </row>
    <row r="561" spans="1:4" x14ac:dyDescent="0.45">
      <c r="A561"/>
      <c r="D561"/>
    </row>
    <row r="562" spans="1:4" x14ac:dyDescent="0.45">
      <c r="A562"/>
      <c r="D562"/>
    </row>
    <row r="563" spans="1:4" x14ac:dyDescent="0.45">
      <c r="A563"/>
      <c r="D563"/>
    </row>
    <row r="564" spans="1:4" x14ac:dyDescent="0.45">
      <c r="A564"/>
      <c r="D564"/>
    </row>
    <row r="565" spans="1:4" x14ac:dyDescent="0.45">
      <c r="A565"/>
      <c r="D565"/>
    </row>
    <row r="566" spans="1:4" x14ac:dyDescent="0.45">
      <c r="A566"/>
      <c r="D566"/>
    </row>
    <row r="567" spans="1:4" x14ac:dyDescent="0.45">
      <c r="A567"/>
      <c r="D567"/>
    </row>
    <row r="568" spans="1:4" x14ac:dyDescent="0.45">
      <c r="A568"/>
      <c r="D568"/>
    </row>
    <row r="569" spans="1:4" x14ac:dyDescent="0.45">
      <c r="A569"/>
      <c r="D569"/>
    </row>
    <row r="570" spans="1:4" x14ac:dyDescent="0.45">
      <c r="A570"/>
      <c r="D570"/>
    </row>
    <row r="571" spans="1:4" x14ac:dyDescent="0.45">
      <c r="A571"/>
      <c r="D571"/>
    </row>
    <row r="572" spans="1:4" x14ac:dyDescent="0.45">
      <c r="A572"/>
      <c r="D572"/>
    </row>
    <row r="573" spans="1:4" x14ac:dyDescent="0.45">
      <c r="A573"/>
      <c r="D573"/>
    </row>
    <row r="574" spans="1:4" x14ac:dyDescent="0.45">
      <c r="A574"/>
      <c r="D574"/>
    </row>
    <row r="575" spans="1:4" x14ac:dyDescent="0.45">
      <c r="A575"/>
      <c r="D575"/>
    </row>
    <row r="576" spans="1:4" x14ac:dyDescent="0.45">
      <c r="A576"/>
      <c r="D576"/>
    </row>
    <row r="577" spans="1:4" x14ac:dyDescent="0.45">
      <c r="A577"/>
      <c r="D577"/>
    </row>
    <row r="578" spans="1:4" x14ac:dyDescent="0.45">
      <c r="A578"/>
      <c r="D578"/>
    </row>
    <row r="579" spans="1:4" x14ac:dyDescent="0.45">
      <c r="A579"/>
      <c r="D579"/>
    </row>
    <row r="580" spans="1:4" x14ac:dyDescent="0.45">
      <c r="A580"/>
      <c r="D580"/>
    </row>
    <row r="581" spans="1:4" x14ac:dyDescent="0.45">
      <c r="A581"/>
      <c r="D581"/>
    </row>
    <row r="582" spans="1:4" x14ac:dyDescent="0.45">
      <c r="A582"/>
      <c r="D582"/>
    </row>
    <row r="583" spans="1:4" x14ac:dyDescent="0.45">
      <c r="A583"/>
      <c r="D583"/>
    </row>
    <row r="584" spans="1:4" x14ac:dyDescent="0.45">
      <c r="A584"/>
      <c r="D584"/>
    </row>
    <row r="585" spans="1:4" x14ac:dyDescent="0.45">
      <c r="A585"/>
      <c r="D585"/>
    </row>
    <row r="586" spans="1:4" x14ac:dyDescent="0.45">
      <c r="A586"/>
      <c r="D586"/>
    </row>
    <row r="587" spans="1:4" x14ac:dyDescent="0.45">
      <c r="A587"/>
      <c r="D587"/>
    </row>
    <row r="588" spans="1:4" x14ac:dyDescent="0.45">
      <c r="A588"/>
      <c r="D588"/>
    </row>
    <row r="589" spans="1:4" x14ac:dyDescent="0.45">
      <c r="A589"/>
      <c r="D589"/>
    </row>
    <row r="590" spans="1:4" x14ac:dyDescent="0.45">
      <c r="A590"/>
      <c r="D590"/>
    </row>
    <row r="591" spans="1:4" x14ac:dyDescent="0.45">
      <c r="A591"/>
      <c r="D591"/>
    </row>
    <row r="592" spans="1:4" x14ac:dyDescent="0.45">
      <c r="A592"/>
      <c r="D592"/>
    </row>
    <row r="593" spans="1:4" x14ac:dyDescent="0.45">
      <c r="A593"/>
      <c r="D593"/>
    </row>
    <row r="594" spans="1:4" x14ac:dyDescent="0.45">
      <c r="A594"/>
      <c r="D594"/>
    </row>
    <row r="595" spans="1:4" x14ac:dyDescent="0.45">
      <c r="A595"/>
      <c r="D595"/>
    </row>
    <row r="596" spans="1:4" x14ac:dyDescent="0.45">
      <c r="A596"/>
      <c r="D596"/>
    </row>
    <row r="597" spans="1:4" x14ac:dyDescent="0.45">
      <c r="A597"/>
      <c r="D597"/>
    </row>
    <row r="598" spans="1:4" x14ac:dyDescent="0.45">
      <c r="A598"/>
      <c r="D598"/>
    </row>
    <row r="599" spans="1:4" x14ac:dyDescent="0.45">
      <c r="A599"/>
      <c r="D599"/>
    </row>
    <row r="600" spans="1:4" x14ac:dyDescent="0.45">
      <c r="A600"/>
      <c r="D600"/>
    </row>
    <row r="601" spans="1:4" x14ac:dyDescent="0.45">
      <c r="A601"/>
      <c r="D601"/>
    </row>
    <row r="602" spans="1:4" x14ac:dyDescent="0.45">
      <c r="A602"/>
      <c r="D602"/>
    </row>
    <row r="603" spans="1:4" x14ac:dyDescent="0.45">
      <c r="A603"/>
      <c r="D603"/>
    </row>
    <row r="604" spans="1:4" x14ac:dyDescent="0.45">
      <c r="A604"/>
      <c r="D604"/>
    </row>
    <row r="605" spans="1:4" x14ac:dyDescent="0.45">
      <c r="A605"/>
      <c r="D605"/>
    </row>
    <row r="606" spans="1:4" x14ac:dyDescent="0.45">
      <c r="A606"/>
      <c r="D606"/>
    </row>
    <row r="607" spans="1:4" x14ac:dyDescent="0.45">
      <c r="A607"/>
      <c r="D607"/>
    </row>
    <row r="608" spans="1:4" x14ac:dyDescent="0.45">
      <c r="A608"/>
      <c r="D608"/>
    </row>
    <row r="609" spans="1:4" x14ac:dyDescent="0.45">
      <c r="A609"/>
      <c r="D609"/>
    </row>
    <row r="610" spans="1:4" x14ac:dyDescent="0.45">
      <c r="A610"/>
      <c r="D610"/>
    </row>
    <row r="611" spans="1:4" x14ac:dyDescent="0.45">
      <c r="A611"/>
      <c r="D611"/>
    </row>
    <row r="612" spans="1:4" x14ac:dyDescent="0.45">
      <c r="A612"/>
      <c r="D612"/>
    </row>
    <row r="613" spans="1:4" x14ac:dyDescent="0.45">
      <c r="A613"/>
      <c r="D613"/>
    </row>
    <row r="614" spans="1:4" x14ac:dyDescent="0.45">
      <c r="A614"/>
      <c r="D614"/>
    </row>
    <row r="615" spans="1:4" x14ac:dyDescent="0.45">
      <c r="A615"/>
      <c r="D615"/>
    </row>
    <row r="616" spans="1:4" x14ac:dyDescent="0.45">
      <c r="A616"/>
      <c r="D616"/>
    </row>
    <row r="617" spans="1:4" x14ac:dyDescent="0.45">
      <c r="A617"/>
      <c r="D617"/>
    </row>
    <row r="618" spans="1:4" x14ac:dyDescent="0.45">
      <c r="A618"/>
      <c r="D618"/>
    </row>
    <row r="619" spans="1:4" x14ac:dyDescent="0.45">
      <c r="A619"/>
      <c r="D619"/>
    </row>
    <row r="620" spans="1:4" x14ac:dyDescent="0.45">
      <c r="A620"/>
      <c r="D620"/>
    </row>
    <row r="621" spans="1:4" x14ac:dyDescent="0.45">
      <c r="A621"/>
      <c r="D621"/>
    </row>
    <row r="622" spans="1:4" x14ac:dyDescent="0.45">
      <c r="A622"/>
      <c r="D622"/>
    </row>
    <row r="623" spans="1:4" x14ac:dyDescent="0.45">
      <c r="A623"/>
      <c r="D623"/>
    </row>
    <row r="624" spans="1:4" x14ac:dyDescent="0.45">
      <c r="A624"/>
      <c r="D624"/>
    </row>
    <row r="625" spans="1:4" x14ac:dyDescent="0.45">
      <c r="A625"/>
      <c r="D625"/>
    </row>
    <row r="626" spans="1:4" x14ac:dyDescent="0.45">
      <c r="A626"/>
      <c r="D626"/>
    </row>
    <row r="627" spans="1:4" x14ac:dyDescent="0.45">
      <c r="A627"/>
      <c r="D627"/>
    </row>
    <row r="628" spans="1:4" x14ac:dyDescent="0.45">
      <c r="A628"/>
      <c r="D628"/>
    </row>
    <row r="629" spans="1:4" x14ac:dyDescent="0.45">
      <c r="A629"/>
      <c r="D629"/>
    </row>
    <row r="630" spans="1:4" x14ac:dyDescent="0.45">
      <c r="A630"/>
      <c r="D630"/>
    </row>
    <row r="631" spans="1:4" x14ac:dyDescent="0.45">
      <c r="A631"/>
      <c r="D631"/>
    </row>
    <row r="632" spans="1:4" x14ac:dyDescent="0.45">
      <c r="A632"/>
      <c r="D632"/>
    </row>
    <row r="633" spans="1:4" x14ac:dyDescent="0.45">
      <c r="A633" s="32"/>
      <c r="D633"/>
    </row>
    <row r="634" spans="1:4" x14ac:dyDescent="0.45">
      <c r="A634" s="32"/>
      <c r="D634"/>
    </row>
    <row r="635" spans="1:4" x14ac:dyDescent="0.45">
      <c r="A635" s="32"/>
      <c r="D635"/>
    </row>
    <row r="636" spans="1:4" x14ac:dyDescent="0.45">
      <c r="A636" s="32"/>
      <c r="D636"/>
    </row>
    <row r="637" spans="1:4" x14ac:dyDescent="0.45">
      <c r="A637" s="32"/>
      <c r="D637"/>
    </row>
    <row r="638" spans="1:4" x14ac:dyDescent="0.45">
      <c r="A638" s="32"/>
      <c r="D638"/>
    </row>
    <row r="639" spans="1:4" x14ac:dyDescent="0.45">
      <c r="A639" s="32"/>
      <c r="D639"/>
    </row>
    <row r="640" spans="1:4" x14ac:dyDescent="0.45">
      <c r="A640" s="32"/>
      <c r="D640"/>
    </row>
    <row r="641" spans="1:4" x14ac:dyDescent="0.45">
      <c r="A641" s="32"/>
      <c r="D641"/>
    </row>
    <row r="642" spans="1:4" x14ac:dyDescent="0.45">
      <c r="A642" s="32"/>
      <c r="D642"/>
    </row>
    <row r="643" spans="1:4" x14ac:dyDescent="0.45">
      <c r="A643" s="32"/>
      <c r="D643"/>
    </row>
    <row r="644" spans="1:4" x14ac:dyDescent="0.45">
      <c r="A644" s="32"/>
      <c r="D644"/>
    </row>
    <row r="645" spans="1:4" x14ac:dyDescent="0.45">
      <c r="A645" s="32"/>
      <c r="D645"/>
    </row>
    <row r="646" spans="1:4" x14ac:dyDescent="0.45">
      <c r="A646" s="32"/>
      <c r="D646"/>
    </row>
    <row r="647" spans="1:4" x14ac:dyDescent="0.45">
      <c r="A647" s="32"/>
      <c r="D647"/>
    </row>
    <row r="648" spans="1:4" x14ac:dyDescent="0.45">
      <c r="A648" s="32"/>
      <c r="D648"/>
    </row>
    <row r="649" spans="1:4" x14ac:dyDescent="0.45">
      <c r="A649" s="32"/>
      <c r="D649"/>
    </row>
    <row r="650" spans="1:4" x14ac:dyDescent="0.45">
      <c r="A650" s="32"/>
      <c r="D650"/>
    </row>
    <row r="651" spans="1:4" x14ac:dyDescent="0.45">
      <c r="A651" s="32"/>
      <c r="D651"/>
    </row>
    <row r="652" spans="1:4" x14ac:dyDescent="0.45">
      <c r="A652" s="32"/>
      <c r="D652"/>
    </row>
    <row r="653" spans="1:4" x14ac:dyDescent="0.45">
      <c r="A653" s="32"/>
      <c r="D653"/>
    </row>
    <row r="654" spans="1:4" x14ac:dyDescent="0.45">
      <c r="A654" s="32"/>
      <c r="D654"/>
    </row>
    <row r="655" spans="1:4" x14ac:dyDescent="0.45">
      <c r="A655" s="32"/>
      <c r="D655"/>
    </row>
    <row r="656" spans="1:4" x14ac:dyDescent="0.45">
      <c r="A656" s="32"/>
      <c r="D656"/>
    </row>
    <row r="657" spans="1:4" x14ac:dyDescent="0.45">
      <c r="A657" s="32"/>
      <c r="D657"/>
    </row>
    <row r="658" spans="1:4" x14ac:dyDescent="0.45">
      <c r="A658" s="32"/>
      <c r="D658"/>
    </row>
    <row r="659" spans="1:4" x14ac:dyDescent="0.45">
      <c r="A659" s="32"/>
      <c r="D659"/>
    </row>
    <row r="660" spans="1:4" x14ac:dyDescent="0.45">
      <c r="A660" s="32"/>
      <c r="D660"/>
    </row>
    <row r="661" spans="1:4" x14ac:dyDescent="0.45">
      <c r="A661" s="32"/>
      <c r="D661"/>
    </row>
    <row r="662" spans="1:4" x14ac:dyDescent="0.45">
      <c r="A662" s="32"/>
      <c r="D662"/>
    </row>
    <row r="663" spans="1:4" x14ac:dyDescent="0.45">
      <c r="A663" s="32"/>
      <c r="D663"/>
    </row>
    <row r="664" spans="1:4" x14ac:dyDescent="0.45">
      <c r="A664" s="32"/>
      <c r="D664"/>
    </row>
    <row r="665" spans="1:4" x14ac:dyDescent="0.45">
      <c r="A665" s="32"/>
      <c r="D665"/>
    </row>
    <row r="666" spans="1:4" x14ac:dyDescent="0.45">
      <c r="A666" s="32"/>
      <c r="D666"/>
    </row>
    <row r="667" spans="1:4" x14ac:dyDescent="0.45">
      <c r="A667" s="32"/>
      <c r="D667"/>
    </row>
    <row r="668" spans="1:4" x14ac:dyDescent="0.45">
      <c r="A668" s="32"/>
      <c r="D668"/>
    </row>
    <row r="669" spans="1:4" x14ac:dyDescent="0.45">
      <c r="A669" s="32"/>
      <c r="D669"/>
    </row>
    <row r="670" spans="1:4" x14ac:dyDescent="0.45">
      <c r="A670" s="32"/>
      <c r="D670"/>
    </row>
    <row r="671" spans="1:4" x14ac:dyDescent="0.45">
      <c r="A671" s="32"/>
      <c r="D671"/>
    </row>
    <row r="672" spans="1:4" x14ac:dyDescent="0.45">
      <c r="A672" s="32"/>
      <c r="D672"/>
    </row>
    <row r="673" spans="1:4" x14ac:dyDescent="0.45">
      <c r="A673" s="32"/>
      <c r="D673"/>
    </row>
    <row r="674" spans="1:4" x14ac:dyDescent="0.45">
      <c r="A674" s="32"/>
      <c r="D674"/>
    </row>
    <row r="675" spans="1:4" x14ac:dyDescent="0.45">
      <c r="A675" s="32"/>
      <c r="D675"/>
    </row>
    <row r="676" spans="1:4" x14ac:dyDescent="0.45">
      <c r="A676" s="32"/>
      <c r="D676"/>
    </row>
    <row r="677" spans="1:4" x14ac:dyDescent="0.45">
      <c r="A677" s="32"/>
      <c r="D677"/>
    </row>
    <row r="678" spans="1:4" x14ac:dyDescent="0.45">
      <c r="A678" s="32"/>
      <c r="D678"/>
    </row>
    <row r="679" spans="1:4" x14ac:dyDescent="0.45">
      <c r="A679" s="32"/>
      <c r="D679"/>
    </row>
    <row r="680" spans="1:4" x14ac:dyDescent="0.45">
      <c r="A680" s="32"/>
      <c r="D680"/>
    </row>
    <row r="681" spans="1:4" x14ac:dyDescent="0.45">
      <c r="A681" s="32"/>
      <c r="D681"/>
    </row>
    <row r="682" spans="1:4" x14ac:dyDescent="0.45">
      <c r="A682" s="32"/>
      <c r="D682"/>
    </row>
    <row r="683" spans="1:4" x14ac:dyDescent="0.45">
      <c r="A683" s="32"/>
      <c r="D683"/>
    </row>
    <row r="684" spans="1:4" x14ac:dyDescent="0.45">
      <c r="A684" s="32"/>
      <c r="D684"/>
    </row>
    <row r="685" spans="1:4" x14ac:dyDescent="0.45">
      <c r="A685" s="32"/>
      <c r="D685"/>
    </row>
    <row r="686" spans="1:4" x14ac:dyDescent="0.45">
      <c r="A686" s="32"/>
      <c r="D686"/>
    </row>
    <row r="687" spans="1:4" x14ac:dyDescent="0.45">
      <c r="A687" s="32"/>
      <c r="D687"/>
    </row>
    <row r="688" spans="1:4" x14ac:dyDescent="0.45">
      <c r="A688" s="32"/>
      <c r="D688"/>
    </row>
    <row r="689" spans="1:4" x14ac:dyDescent="0.45">
      <c r="A689" s="32"/>
      <c r="D689"/>
    </row>
    <row r="690" spans="1:4" x14ac:dyDescent="0.45">
      <c r="A690" s="32"/>
      <c r="D690"/>
    </row>
    <row r="691" spans="1:4" x14ac:dyDescent="0.45">
      <c r="A691" s="32"/>
      <c r="D691"/>
    </row>
    <row r="692" spans="1:4" x14ac:dyDescent="0.45">
      <c r="A692" s="32"/>
      <c r="D692"/>
    </row>
    <row r="693" spans="1:4" x14ac:dyDescent="0.45">
      <c r="A693" s="32"/>
      <c r="D693"/>
    </row>
    <row r="694" spans="1:4" x14ac:dyDescent="0.45">
      <c r="A694" s="32"/>
      <c r="D694"/>
    </row>
    <row r="695" spans="1:4" x14ac:dyDescent="0.45">
      <c r="A695" s="32"/>
      <c r="D695"/>
    </row>
    <row r="696" spans="1:4" x14ac:dyDescent="0.45">
      <c r="A696" s="32"/>
      <c r="D696"/>
    </row>
    <row r="697" spans="1:4" x14ac:dyDescent="0.45">
      <c r="A697" s="32"/>
      <c r="D697"/>
    </row>
    <row r="698" spans="1:4" x14ac:dyDescent="0.45">
      <c r="A698" s="32"/>
      <c r="D698"/>
    </row>
    <row r="699" spans="1:4" x14ac:dyDescent="0.45">
      <c r="A699" s="32"/>
      <c r="D699"/>
    </row>
    <row r="700" spans="1:4" x14ac:dyDescent="0.45">
      <c r="A700" s="32"/>
      <c r="D700"/>
    </row>
    <row r="701" spans="1:4" x14ac:dyDescent="0.45">
      <c r="A701" s="32"/>
      <c r="D701"/>
    </row>
    <row r="702" spans="1:4" x14ac:dyDescent="0.45">
      <c r="A702" s="32"/>
      <c r="D702"/>
    </row>
    <row r="703" spans="1:4" x14ac:dyDescent="0.45">
      <c r="A703" s="32"/>
      <c r="D703"/>
    </row>
    <row r="704" spans="1:4" x14ac:dyDescent="0.45">
      <c r="A704" s="32"/>
      <c r="D704"/>
    </row>
    <row r="705" spans="1:4" x14ac:dyDescent="0.45">
      <c r="A705" s="32"/>
      <c r="D705"/>
    </row>
    <row r="706" spans="1:4" x14ac:dyDescent="0.45">
      <c r="A706" s="32"/>
      <c r="D706"/>
    </row>
    <row r="707" spans="1:4" x14ac:dyDescent="0.45">
      <c r="A707" s="32"/>
      <c r="D707"/>
    </row>
    <row r="708" spans="1:4" x14ac:dyDescent="0.45">
      <c r="A708" s="32"/>
      <c r="D708"/>
    </row>
    <row r="709" spans="1:4" x14ac:dyDescent="0.45">
      <c r="A709" s="32"/>
      <c r="D709"/>
    </row>
    <row r="710" spans="1:4" x14ac:dyDescent="0.45">
      <c r="A710" s="32"/>
      <c r="D710"/>
    </row>
    <row r="711" spans="1:4" x14ac:dyDescent="0.45">
      <c r="A711" s="32"/>
      <c r="D711"/>
    </row>
    <row r="712" spans="1:4" x14ac:dyDescent="0.45">
      <c r="A712" s="32"/>
      <c r="D712"/>
    </row>
    <row r="713" spans="1:4" x14ac:dyDescent="0.45">
      <c r="D713"/>
    </row>
    <row r="714" spans="1:4" x14ac:dyDescent="0.45">
      <c r="D714"/>
    </row>
    <row r="715" spans="1:4" x14ac:dyDescent="0.45">
      <c r="D715"/>
    </row>
    <row r="716" spans="1:4" x14ac:dyDescent="0.45">
      <c r="D716"/>
    </row>
    <row r="717" spans="1:4" x14ac:dyDescent="0.45">
      <c r="D717"/>
    </row>
    <row r="718" spans="1:4" x14ac:dyDescent="0.45">
      <c r="D718"/>
    </row>
    <row r="719" spans="1:4" x14ac:dyDescent="0.45">
      <c r="D719"/>
    </row>
    <row r="720" spans="1:4" x14ac:dyDescent="0.45">
      <c r="D720"/>
    </row>
    <row r="721" spans="4:4" x14ac:dyDescent="0.45">
      <c r="D721"/>
    </row>
    <row r="722" spans="4:4" x14ac:dyDescent="0.45">
      <c r="D722"/>
    </row>
    <row r="723" spans="4:4" x14ac:dyDescent="0.45">
      <c r="D723"/>
    </row>
    <row r="724" spans="4:4" x14ac:dyDescent="0.45">
      <c r="D724"/>
    </row>
    <row r="725" spans="4:4" x14ac:dyDescent="0.45">
      <c r="D725"/>
    </row>
    <row r="726" spans="4:4" x14ac:dyDescent="0.45">
      <c r="D726"/>
    </row>
    <row r="727" spans="4:4" x14ac:dyDescent="0.45">
      <c r="D727"/>
    </row>
    <row r="728" spans="4:4" x14ac:dyDescent="0.45">
      <c r="D728"/>
    </row>
    <row r="729" spans="4:4" x14ac:dyDescent="0.45">
      <c r="D729"/>
    </row>
    <row r="730" spans="4:4" x14ac:dyDescent="0.45">
      <c r="D730"/>
    </row>
    <row r="731" spans="4:4" x14ac:dyDescent="0.45">
      <c r="D731"/>
    </row>
    <row r="732" spans="4:4" x14ac:dyDescent="0.45">
      <c r="D732"/>
    </row>
    <row r="733" spans="4:4" x14ac:dyDescent="0.45">
      <c r="D733"/>
    </row>
    <row r="734" spans="4:4" x14ac:dyDescent="0.45">
      <c r="D734"/>
    </row>
    <row r="735" spans="4:4" x14ac:dyDescent="0.45">
      <c r="D735"/>
    </row>
    <row r="736" spans="4:4" x14ac:dyDescent="0.45">
      <c r="D736"/>
    </row>
    <row r="737" spans="4:4" x14ac:dyDescent="0.45">
      <c r="D737"/>
    </row>
    <row r="738" spans="4:4" x14ac:dyDescent="0.45">
      <c r="D738"/>
    </row>
    <row r="739" spans="4:4" x14ac:dyDescent="0.45">
      <c r="D739"/>
    </row>
    <row r="740" spans="4:4" x14ac:dyDescent="0.45">
      <c r="D740"/>
    </row>
    <row r="741" spans="4:4" x14ac:dyDescent="0.45">
      <c r="D741"/>
    </row>
    <row r="742" spans="4:4" x14ac:dyDescent="0.45">
      <c r="D742"/>
    </row>
    <row r="743" spans="4:4" x14ac:dyDescent="0.45">
      <c r="D743"/>
    </row>
    <row r="744" spans="4:4" x14ac:dyDescent="0.45">
      <c r="D744"/>
    </row>
    <row r="745" spans="4:4" x14ac:dyDescent="0.45">
      <c r="D745"/>
    </row>
    <row r="746" spans="4:4" x14ac:dyDescent="0.45">
      <c r="D746"/>
    </row>
    <row r="747" spans="4:4" x14ac:dyDescent="0.45">
      <c r="D747"/>
    </row>
    <row r="748" spans="4:4" x14ac:dyDescent="0.45">
      <c r="D748"/>
    </row>
    <row r="749" spans="4:4" x14ac:dyDescent="0.45">
      <c r="D749"/>
    </row>
    <row r="750" spans="4:4" x14ac:dyDescent="0.45">
      <c r="D750"/>
    </row>
    <row r="751" spans="4:4" x14ac:dyDescent="0.45">
      <c r="D751"/>
    </row>
    <row r="752" spans="4:4" x14ac:dyDescent="0.45">
      <c r="D752"/>
    </row>
    <row r="753" spans="4:4" x14ac:dyDescent="0.45">
      <c r="D753"/>
    </row>
    <row r="754" spans="4:4" x14ac:dyDescent="0.45">
      <c r="D754"/>
    </row>
    <row r="755" spans="4:4" x14ac:dyDescent="0.45">
      <c r="D755"/>
    </row>
    <row r="756" spans="4:4" x14ac:dyDescent="0.45">
      <c r="D756"/>
    </row>
    <row r="757" spans="4:4" x14ac:dyDescent="0.45">
      <c r="D757"/>
    </row>
    <row r="758" spans="4:4" x14ac:dyDescent="0.45">
      <c r="D758"/>
    </row>
    <row r="759" spans="4:4" x14ac:dyDescent="0.45">
      <c r="D759"/>
    </row>
    <row r="760" spans="4:4" x14ac:dyDescent="0.45">
      <c r="D760"/>
    </row>
    <row r="761" spans="4:4" x14ac:dyDescent="0.45">
      <c r="D761"/>
    </row>
    <row r="762" spans="4:4" x14ac:dyDescent="0.45">
      <c r="D762"/>
    </row>
    <row r="763" spans="4:4" x14ac:dyDescent="0.45">
      <c r="D763"/>
    </row>
    <row r="764" spans="4:4" x14ac:dyDescent="0.45">
      <c r="D764"/>
    </row>
    <row r="765" spans="4:4" x14ac:dyDescent="0.45">
      <c r="D765"/>
    </row>
    <row r="766" spans="4:4" x14ac:dyDescent="0.45">
      <c r="D766"/>
    </row>
    <row r="767" spans="4:4" x14ac:dyDescent="0.45">
      <c r="D767"/>
    </row>
    <row r="768" spans="4:4" x14ac:dyDescent="0.45">
      <c r="D768"/>
    </row>
    <row r="769" spans="4:4" x14ac:dyDescent="0.45">
      <c r="D769"/>
    </row>
    <row r="770" spans="4:4" x14ac:dyDescent="0.45">
      <c r="D770"/>
    </row>
    <row r="771" spans="4:4" x14ac:dyDescent="0.45">
      <c r="D771"/>
    </row>
    <row r="772" spans="4:4" x14ac:dyDescent="0.45">
      <c r="D772"/>
    </row>
    <row r="773" spans="4:4" x14ac:dyDescent="0.45">
      <c r="D773"/>
    </row>
    <row r="774" spans="4:4" x14ac:dyDescent="0.45">
      <c r="D774"/>
    </row>
    <row r="775" spans="4:4" x14ac:dyDescent="0.45">
      <c r="D775"/>
    </row>
    <row r="776" spans="4:4" x14ac:dyDescent="0.45">
      <c r="D776"/>
    </row>
    <row r="777" spans="4:4" x14ac:dyDescent="0.45">
      <c r="D777"/>
    </row>
    <row r="778" spans="4:4" x14ac:dyDescent="0.45">
      <c r="D778"/>
    </row>
    <row r="779" spans="4:4" x14ac:dyDescent="0.45">
      <c r="D779"/>
    </row>
    <row r="780" spans="4:4" x14ac:dyDescent="0.45">
      <c r="D780"/>
    </row>
    <row r="781" spans="4:4" x14ac:dyDescent="0.45">
      <c r="D781"/>
    </row>
    <row r="782" spans="4:4" x14ac:dyDescent="0.45">
      <c r="D782"/>
    </row>
    <row r="783" spans="4:4" x14ac:dyDescent="0.45">
      <c r="D783"/>
    </row>
    <row r="784" spans="4:4" x14ac:dyDescent="0.45">
      <c r="D784"/>
    </row>
    <row r="785" spans="4:4" x14ac:dyDescent="0.45">
      <c r="D785"/>
    </row>
    <row r="786" spans="4:4" x14ac:dyDescent="0.45">
      <c r="D786"/>
    </row>
    <row r="787" spans="4:4" x14ac:dyDescent="0.45">
      <c r="D787"/>
    </row>
    <row r="788" spans="4:4" x14ac:dyDescent="0.45">
      <c r="D788"/>
    </row>
    <row r="789" spans="4:4" x14ac:dyDescent="0.45">
      <c r="D789"/>
    </row>
    <row r="790" spans="4:4" x14ac:dyDescent="0.45">
      <c r="D790"/>
    </row>
    <row r="791" spans="4:4" x14ac:dyDescent="0.45">
      <c r="D791"/>
    </row>
    <row r="792" spans="4:4" x14ac:dyDescent="0.45">
      <c r="D792"/>
    </row>
    <row r="793" spans="4:4" x14ac:dyDescent="0.45">
      <c r="D793"/>
    </row>
    <row r="794" spans="4:4" x14ac:dyDescent="0.45">
      <c r="D794"/>
    </row>
    <row r="795" spans="4:4" x14ac:dyDescent="0.45">
      <c r="D795"/>
    </row>
    <row r="796" spans="4:4" x14ac:dyDescent="0.45">
      <c r="D796"/>
    </row>
    <row r="797" spans="4:4" x14ac:dyDescent="0.45">
      <c r="D797"/>
    </row>
    <row r="798" spans="4:4" x14ac:dyDescent="0.45">
      <c r="D798"/>
    </row>
    <row r="799" spans="4:4" x14ac:dyDescent="0.45">
      <c r="D799"/>
    </row>
    <row r="800" spans="4:4" x14ac:dyDescent="0.45">
      <c r="D800"/>
    </row>
    <row r="801" spans="4:4" x14ac:dyDescent="0.45">
      <c r="D801"/>
    </row>
    <row r="802" spans="4:4" x14ac:dyDescent="0.45">
      <c r="D802"/>
    </row>
    <row r="803" spans="4:4" x14ac:dyDescent="0.45">
      <c r="D803"/>
    </row>
    <row r="804" spans="4:4" x14ac:dyDescent="0.45">
      <c r="D804"/>
    </row>
    <row r="805" spans="4:4" x14ac:dyDescent="0.45">
      <c r="D805"/>
    </row>
    <row r="806" spans="4:4" x14ac:dyDescent="0.45">
      <c r="D806"/>
    </row>
    <row r="807" spans="4:4" x14ac:dyDescent="0.45">
      <c r="D807"/>
    </row>
    <row r="808" spans="4:4" x14ac:dyDescent="0.45">
      <c r="D808"/>
    </row>
    <row r="809" spans="4:4" x14ac:dyDescent="0.45">
      <c r="D809"/>
    </row>
    <row r="810" spans="4:4" x14ac:dyDescent="0.45">
      <c r="D810"/>
    </row>
    <row r="811" spans="4:4" x14ac:dyDescent="0.45">
      <c r="D811"/>
    </row>
    <row r="812" spans="4:4" x14ac:dyDescent="0.45">
      <c r="D812"/>
    </row>
    <row r="813" spans="4:4" x14ac:dyDescent="0.45">
      <c r="D813"/>
    </row>
    <row r="814" spans="4:4" x14ac:dyDescent="0.45">
      <c r="D814"/>
    </row>
    <row r="815" spans="4:4" x14ac:dyDescent="0.45">
      <c r="D815"/>
    </row>
    <row r="816" spans="4:4" x14ac:dyDescent="0.45">
      <c r="D816"/>
    </row>
    <row r="817" spans="4:4" x14ac:dyDescent="0.45">
      <c r="D817"/>
    </row>
    <row r="818" spans="4:4" x14ac:dyDescent="0.45">
      <c r="D818"/>
    </row>
    <row r="819" spans="4:4" x14ac:dyDescent="0.45">
      <c r="D819"/>
    </row>
    <row r="820" spans="4:4" x14ac:dyDescent="0.45">
      <c r="D820"/>
    </row>
    <row r="821" spans="4:4" x14ac:dyDescent="0.45">
      <c r="D821"/>
    </row>
    <row r="822" spans="4:4" x14ac:dyDescent="0.45">
      <c r="D822"/>
    </row>
    <row r="823" spans="4:4" x14ac:dyDescent="0.45">
      <c r="D823"/>
    </row>
    <row r="824" spans="4:4" x14ac:dyDescent="0.45">
      <c r="D824"/>
    </row>
  </sheetData>
  <mergeCells count="137">
    <mergeCell ref="B4:AH4"/>
    <mergeCell ref="B7:AH7"/>
    <mergeCell ref="B10:AH10"/>
    <mergeCell ref="B13:AH13"/>
    <mergeCell ref="B16:AH16"/>
    <mergeCell ref="B19:AH19"/>
    <mergeCell ref="B52:AH52"/>
    <mergeCell ref="B55:AH55"/>
    <mergeCell ref="D53:D54"/>
    <mergeCell ref="B22:AH22"/>
    <mergeCell ref="B25:AH25"/>
    <mergeCell ref="B28:AH28"/>
    <mergeCell ref="B31:AH31"/>
    <mergeCell ref="B34:AH34"/>
    <mergeCell ref="B37:AH37"/>
    <mergeCell ref="D23:D24"/>
    <mergeCell ref="D26:D27"/>
    <mergeCell ref="D29:D30"/>
    <mergeCell ref="D32:D33"/>
    <mergeCell ref="D35:D36"/>
    <mergeCell ref="D38:D39"/>
    <mergeCell ref="D41:D42"/>
    <mergeCell ref="D44:D45"/>
    <mergeCell ref="D47:D48"/>
    <mergeCell ref="D116:D117"/>
    <mergeCell ref="D119:D120"/>
    <mergeCell ref="D122:D123"/>
    <mergeCell ref="B94:AH94"/>
    <mergeCell ref="B103:AH103"/>
    <mergeCell ref="B106:AH106"/>
    <mergeCell ref="B109:AH109"/>
    <mergeCell ref="B76:AH76"/>
    <mergeCell ref="B79:AH79"/>
    <mergeCell ref="B82:AH82"/>
    <mergeCell ref="B85:AH85"/>
    <mergeCell ref="B88:AH88"/>
    <mergeCell ref="B91:AH91"/>
    <mergeCell ref="D89:D90"/>
    <mergeCell ref="A99:AH100"/>
    <mergeCell ref="A101:A147"/>
    <mergeCell ref="D137:D138"/>
    <mergeCell ref="D140:D141"/>
    <mergeCell ref="D179:D180"/>
    <mergeCell ref="A175:AH176"/>
    <mergeCell ref="B154:AH154"/>
    <mergeCell ref="B157:AH157"/>
    <mergeCell ref="B160:AH160"/>
    <mergeCell ref="B163:AH163"/>
    <mergeCell ref="A152:A174"/>
    <mergeCell ref="D155:D156"/>
    <mergeCell ref="D158:D159"/>
    <mergeCell ref="D161:D162"/>
    <mergeCell ref="D164:D165"/>
    <mergeCell ref="D167:D168"/>
    <mergeCell ref="D152:D153"/>
    <mergeCell ref="B166:AH166"/>
    <mergeCell ref="D50:D51"/>
    <mergeCell ref="A2:A96"/>
    <mergeCell ref="D2:D3"/>
    <mergeCell ref="D5:D6"/>
    <mergeCell ref="D8:D9"/>
    <mergeCell ref="D11:D12"/>
    <mergeCell ref="D14:D15"/>
    <mergeCell ref="D17:D18"/>
    <mergeCell ref="D20:D21"/>
    <mergeCell ref="B58:AH58"/>
    <mergeCell ref="B61:AH61"/>
    <mergeCell ref="B64:AH64"/>
    <mergeCell ref="B67:AH67"/>
    <mergeCell ref="B70:AH70"/>
    <mergeCell ref="B73:AH73"/>
    <mergeCell ref="B40:AH40"/>
    <mergeCell ref="B43:AH43"/>
    <mergeCell ref="B46:AH46"/>
    <mergeCell ref="B49:AH49"/>
    <mergeCell ref="D74:D75"/>
    <mergeCell ref="D77:D78"/>
    <mergeCell ref="D80:D81"/>
    <mergeCell ref="D83:D84"/>
    <mergeCell ref="D86:D87"/>
    <mergeCell ref="D56:D57"/>
    <mergeCell ref="D59:D60"/>
    <mergeCell ref="D62:D63"/>
    <mergeCell ref="D65:D66"/>
    <mergeCell ref="D68:D69"/>
    <mergeCell ref="D71:D72"/>
    <mergeCell ref="D92:D93"/>
    <mergeCell ref="D95:D96"/>
    <mergeCell ref="A97:AH98"/>
    <mergeCell ref="A148:AH149"/>
    <mergeCell ref="D101:D102"/>
    <mergeCell ref="D104:D105"/>
    <mergeCell ref="D107:D108"/>
    <mergeCell ref="D110:D111"/>
    <mergeCell ref="B130:AH130"/>
    <mergeCell ref="B133:AH133"/>
    <mergeCell ref="B136:AH136"/>
    <mergeCell ref="B139:AH139"/>
    <mergeCell ref="B142:AH142"/>
    <mergeCell ref="B145:AH145"/>
    <mergeCell ref="D143:D144"/>
    <mergeCell ref="B112:AH112"/>
    <mergeCell ref="B115:AH115"/>
    <mergeCell ref="B118:AH118"/>
    <mergeCell ref="B121:AH121"/>
    <mergeCell ref="B124:AH124"/>
    <mergeCell ref="B127:AH127"/>
    <mergeCell ref="D113:D114"/>
    <mergeCell ref="D146:D147"/>
    <mergeCell ref="D125:D126"/>
    <mergeCell ref="D128:D129"/>
    <mergeCell ref="D131:D132"/>
    <mergeCell ref="D134:D135"/>
    <mergeCell ref="A150:AH151"/>
    <mergeCell ref="A205:AH206"/>
    <mergeCell ref="A177:AH178"/>
    <mergeCell ref="A179:A189"/>
    <mergeCell ref="A190:AH191"/>
    <mergeCell ref="A192:AH193"/>
    <mergeCell ref="A199:AH200"/>
    <mergeCell ref="A194:A198"/>
    <mergeCell ref="D182:D183"/>
    <mergeCell ref="D185:D186"/>
    <mergeCell ref="D188:D189"/>
    <mergeCell ref="D194:D195"/>
    <mergeCell ref="D197:D198"/>
    <mergeCell ref="D203:D204"/>
    <mergeCell ref="A201:AH202"/>
    <mergeCell ref="A203:A204"/>
    <mergeCell ref="B184:AH184"/>
    <mergeCell ref="B187:AH187"/>
    <mergeCell ref="B196:AH196"/>
    <mergeCell ref="B169:AH169"/>
    <mergeCell ref="B172:AH172"/>
    <mergeCell ref="B181:AH181"/>
    <mergeCell ref="D170:D171"/>
    <mergeCell ref="D173:D17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83B4-A929-4404-98F5-FA16843AFAE1}">
  <dimension ref="A1:AG284"/>
  <sheetViews>
    <sheetView zoomScale="80" zoomScaleNormal="80" workbookViewId="0">
      <pane ySplit="1" topLeftCell="A2" activePane="bottomLeft" state="frozen"/>
      <selection activeCell="I26" sqref="I26"/>
      <selection pane="bottomLeft" activeCell="M1" sqref="M1:M1048576"/>
    </sheetView>
  </sheetViews>
  <sheetFormatPr defaultRowHeight="14.25" x14ac:dyDescent="0.45"/>
  <cols>
    <col min="1" max="1" width="16" bestFit="1" customWidth="1"/>
    <col min="2" max="2" width="7.3984375" bestFit="1" customWidth="1"/>
    <col min="3" max="4" width="9.73046875" customWidth="1"/>
    <col min="5" max="5" width="9.59765625" customWidth="1"/>
    <col min="6" max="9" width="9.59765625" style="8" customWidth="1"/>
    <col min="10" max="14" width="9.59765625" customWidth="1"/>
    <col min="15" max="15" width="9.59765625" style="8" customWidth="1"/>
    <col min="16" max="16" width="10.3984375" style="8" customWidth="1"/>
    <col min="17" max="17" width="10.59765625" style="8" customWidth="1"/>
    <col min="18" max="18" width="9.1328125" style="8"/>
    <col min="20" max="20" width="9.73046875" style="29" bestFit="1" customWidth="1"/>
    <col min="23" max="23" width="9.73046875" bestFit="1" customWidth="1"/>
    <col min="24" max="24" width="9.73046875" style="37" customWidth="1"/>
    <col min="26" max="26" width="12.86328125" style="19" customWidth="1"/>
    <col min="27" max="27" width="12.265625" style="8" customWidth="1"/>
    <col min="28" max="28" width="10" style="8" customWidth="1"/>
    <col min="29" max="29" width="10.1328125" customWidth="1"/>
    <col min="30" max="30" width="11.59765625" style="37" customWidth="1"/>
    <col min="31" max="31" width="5.86328125" bestFit="1" customWidth="1"/>
    <col min="32" max="32" width="8.1328125" bestFit="1" customWidth="1"/>
    <col min="33" max="33" width="10.73046875" customWidth="1"/>
  </cols>
  <sheetData>
    <row r="1" spans="1:33" ht="57.4" thickBot="1" x14ac:dyDescent="0.5">
      <c r="A1" s="3" t="s">
        <v>87</v>
      </c>
      <c r="B1" s="3" t="s">
        <v>7</v>
      </c>
      <c r="C1" s="3" t="s">
        <v>0</v>
      </c>
      <c r="D1" s="3" t="s">
        <v>1</v>
      </c>
      <c r="E1" s="3" t="s">
        <v>85</v>
      </c>
      <c r="F1" s="3" t="s">
        <v>80</v>
      </c>
      <c r="G1" s="3" t="s">
        <v>81</v>
      </c>
      <c r="H1" s="3" t="s">
        <v>82</v>
      </c>
      <c r="I1" s="3" t="s">
        <v>79</v>
      </c>
      <c r="J1" s="3" t="s">
        <v>12</v>
      </c>
      <c r="K1" s="3" t="s">
        <v>13</v>
      </c>
      <c r="L1" s="3" t="s">
        <v>63</v>
      </c>
      <c r="M1" s="3" t="s">
        <v>109</v>
      </c>
      <c r="N1" s="3" t="s">
        <v>11</v>
      </c>
      <c r="O1" s="3" t="s">
        <v>8</v>
      </c>
      <c r="P1" s="3" t="s">
        <v>83</v>
      </c>
      <c r="Q1" s="3" t="s">
        <v>84</v>
      </c>
      <c r="R1" s="3" t="s">
        <v>86</v>
      </c>
      <c r="S1" s="3" t="s">
        <v>9</v>
      </c>
      <c r="T1" s="20" t="s">
        <v>102</v>
      </c>
      <c r="U1" s="3" t="s">
        <v>10</v>
      </c>
      <c r="V1" s="33" t="s">
        <v>99</v>
      </c>
      <c r="W1" s="33" t="s">
        <v>100</v>
      </c>
      <c r="X1" s="34" t="s">
        <v>101</v>
      </c>
      <c r="Y1" s="3" t="s">
        <v>64</v>
      </c>
      <c r="Z1" s="17" t="s">
        <v>97</v>
      </c>
      <c r="AA1" s="3" t="s">
        <v>88</v>
      </c>
      <c r="AB1" s="3" t="s">
        <v>89</v>
      </c>
      <c r="AC1" s="3" t="s">
        <v>90</v>
      </c>
      <c r="AD1" s="34" t="s">
        <v>65</v>
      </c>
      <c r="AE1" s="3" t="s">
        <v>66</v>
      </c>
      <c r="AF1" s="3" t="s">
        <v>67</v>
      </c>
      <c r="AG1" s="3" t="s">
        <v>68</v>
      </c>
    </row>
    <row r="2" spans="1:33" x14ac:dyDescent="0.45">
      <c r="A2" s="1" t="s">
        <v>14</v>
      </c>
      <c r="B2" s="2">
        <v>1</v>
      </c>
      <c r="C2" s="2">
        <v>1.1819999999999999</v>
      </c>
      <c r="D2" s="2">
        <v>0.98099999999999998</v>
      </c>
      <c r="E2" s="2">
        <v>0.20100000000000001</v>
      </c>
      <c r="F2" s="2">
        <v>48.8</v>
      </c>
      <c r="G2" s="2">
        <v>32.799999999999997</v>
      </c>
      <c r="H2" s="2">
        <v>18.3</v>
      </c>
      <c r="I2" s="2">
        <v>117.1</v>
      </c>
      <c r="J2" s="2">
        <v>36.799999999999997</v>
      </c>
      <c r="K2" s="2">
        <v>40.6</v>
      </c>
      <c r="L2" s="2">
        <v>55.7</v>
      </c>
      <c r="M2" s="2">
        <v>0.72699999999999998</v>
      </c>
      <c r="N2" s="2">
        <v>0.33500000000000002</v>
      </c>
      <c r="O2" s="2">
        <v>70.900000000000006</v>
      </c>
      <c r="P2" s="2">
        <v>1.014</v>
      </c>
      <c r="Q2" s="2">
        <v>4.3</v>
      </c>
      <c r="R2" s="2">
        <v>60.5</v>
      </c>
      <c r="S2" s="2">
        <v>33.299999999999997</v>
      </c>
      <c r="T2" s="25">
        <v>0.73199999999999998</v>
      </c>
      <c r="U2" s="2">
        <v>13</v>
      </c>
      <c r="V2" s="2">
        <v>29.8</v>
      </c>
      <c r="W2" s="2">
        <v>35.299999999999997</v>
      </c>
      <c r="X2" s="2">
        <v>0.10199999999999999</v>
      </c>
      <c r="Y2" s="2">
        <v>46</v>
      </c>
      <c r="Z2" s="2">
        <v>9.5000000000000001E-2</v>
      </c>
      <c r="AA2" s="2">
        <v>0.13500000000000001</v>
      </c>
      <c r="AB2" s="2">
        <v>0.16800000000000001</v>
      </c>
      <c r="AC2" s="2">
        <v>0.39200000000000002</v>
      </c>
      <c r="AD2" s="67">
        <v>0.77800000000000002</v>
      </c>
      <c r="AE2" s="2">
        <v>28</v>
      </c>
      <c r="AF2" s="2">
        <v>5</v>
      </c>
      <c r="AG2" s="2">
        <v>3</v>
      </c>
    </row>
    <row r="3" spans="1:33" x14ac:dyDescent="0.45">
      <c r="A3" s="1" t="s">
        <v>26</v>
      </c>
      <c r="B3" s="2">
        <v>1</v>
      </c>
      <c r="C3" s="2">
        <v>1.1779999999999999</v>
      </c>
      <c r="D3" s="2">
        <v>0.95499999999999996</v>
      </c>
      <c r="E3" s="2">
        <v>0.27100000000000002</v>
      </c>
      <c r="F3" s="2">
        <v>47</v>
      </c>
      <c r="G3" s="2">
        <v>34.799999999999997</v>
      </c>
      <c r="H3" s="2">
        <v>18.100000000000001</v>
      </c>
      <c r="I3" s="2">
        <v>116</v>
      </c>
      <c r="J3" s="2">
        <v>35.5</v>
      </c>
      <c r="K3" s="2">
        <v>43.6</v>
      </c>
      <c r="L3" s="2">
        <v>55</v>
      </c>
      <c r="M3" s="2">
        <v>0.72799999999999998</v>
      </c>
      <c r="N3" s="2">
        <v>0.32600000000000001</v>
      </c>
      <c r="O3" s="2">
        <v>72.5</v>
      </c>
      <c r="P3" s="2">
        <v>1.022</v>
      </c>
      <c r="Q3" s="2">
        <v>3.7</v>
      </c>
      <c r="R3" s="2">
        <v>61.6</v>
      </c>
      <c r="S3" s="2">
        <v>36.9</v>
      </c>
      <c r="T3" s="25">
        <v>0.73099999999999998</v>
      </c>
      <c r="U3" s="2">
        <v>14.7</v>
      </c>
      <c r="V3" s="2">
        <v>29.4</v>
      </c>
      <c r="W3" s="2">
        <v>37.200000000000003</v>
      </c>
      <c r="X3" s="2">
        <v>7.2999999999999995E-2</v>
      </c>
      <c r="Y3" s="2">
        <v>45.3</v>
      </c>
      <c r="Z3" s="2">
        <v>0.104</v>
      </c>
      <c r="AA3" s="2">
        <v>0.155</v>
      </c>
      <c r="AB3" s="2">
        <v>0.16400000000000001</v>
      </c>
      <c r="AC3" s="2">
        <v>0.33</v>
      </c>
      <c r="AD3" s="67">
        <v>0.5</v>
      </c>
      <c r="AE3" s="2">
        <v>30</v>
      </c>
      <c r="AF3" s="2">
        <v>4</v>
      </c>
      <c r="AG3" s="2">
        <v>32</v>
      </c>
    </row>
    <row r="4" spans="1:33" x14ac:dyDescent="0.45">
      <c r="A4" s="1" t="s">
        <v>51</v>
      </c>
      <c r="B4" s="2">
        <v>1</v>
      </c>
      <c r="C4" s="2">
        <v>1.131</v>
      </c>
      <c r="D4" s="2">
        <v>0.89100000000000001</v>
      </c>
      <c r="E4" s="2">
        <v>0.24</v>
      </c>
      <c r="F4" s="2">
        <v>50.7</v>
      </c>
      <c r="G4" s="2">
        <v>32.700000000000003</v>
      </c>
      <c r="H4" s="2">
        <v>16.600000000000001</v>
      </c>
      <c r="I4" s="2">
        <v>111.2</v>
      </c>
      <c r="J4" s="2">
        <v>39.799999999999997</v>
      </c>
      <c r="K4" s="2">
        <v>34.5</v>
      </c>
      <c r="L4" s="2">
        <v>52.7</v>
      </c>
      <c r="M4" s="2">
        <v>0.74</v>
      </c>
      <c r="N4" s="2">
        <v>0.28199999999999997</v>
      </c>
      <c r="O4" s="2">
        <v>65.599999999999994</v>
      </c>
      <c r="P4" s="2">
        <v>1.026</v>
      </c>
      <c r="Q4" s="2">
        <v>8.1999999999999993</v>
      </c>
      <c r="R4" s="2">
        <v>52.3</v>
      </c>
      <c r="S4" s="2">
        <v>35.700000000000003</v>
      </c>
      <c r="T4" s="25">
        <v>0.753</v>
      </c>
      <c r="U4" s="2">
        <v>14.2</v>
      </c>
      <c r="V4" s="2">
        <v>30.2</v>
      </c>
      <c r="W4" s="2">
        <v>43.4</v>
      </c>
      <c r="X4" s="2">
        <v>0.09</v>
      </c>
      <c r="Y4" s="2">
        <v>44.9</v>
      </c>
      <c r="Z4" s="2">
        <v>0.122</v>
      </c>
      <c r="AA4" s="2">
        <v>0.16800000000000001</v>
      </c>
      <c r="AB4" s="2">
        <v>0.20899999999999999</v>
      </c>
      <c r="AC4" s="2">
        <v>0.34100000000000003</v>
      </c>
      <c r="AD4" s="67">
        <v>0.42899999999999999</v>
      </c>
      <c r="AE4" s="2">
        <v>30</v>
      </c>
      <c r="AF4" s="2">
        <v>4</v>
      </c>
      <c r="AG4" s="2">
        <v>9</v>
      </c>
    </row>
    <row r="5" spans="1:33" s="15" customFormat="1" ht="14.65" thickBot="1" x14ac:dyDescent="0.5">
      <c r="A5" s="13" t="s">
        <v>39</v>
      </c>
      <c r="B5" s="41">
        <v>1</v>
      </c>
      <c r="C5" s="41">
        <v>1.2110000000000001</v>
      </c>
      <c r="D5" s="41">
        <v>0.90700000000000003</v>
      </c>
      <c r="E5" s="41">
        <v>0.30399999999999999</v>
      </c>
      <c r="F5" s="41">
        <v>45.1</v>
      </c>
      <c r="G5" s="41">
        <v>36.9</v>
      </c>
      <c r="H5" s="41">
        <v>18</v>
      </c>
      <c r="I5" s="41">
        <v>123</v>
      </c>
      <c r="J5" s="41">
        <v>37.700000000000003</v>
      </c>
      <c r="K5" s="41">
        <v>45.4</v>
      </c>
      <c r="L5" s="41">
        <v>57.4</v>
      </c>
      <c r="M5" s="41">
        <v>0.79</v>
      </c>
      <c r="N5" s="41">
        <v>0.32100000000000001</v>
      </c>
      <c r="O5" s="41">
        <v>68.3</v>
      </c>
      <c r="P5" s="41">
        <v>1.004</v>
      </c>
      <c r="Q5" s="41">
        <v>3.8</v>
      </c>
      <c r="R5" s="41">
        <v>64.400000000000006</v>
      </c>
      <c r="S5" s="41">
        <v>34.1</v>
      </c>
      <c r="T5" s="61">
        <v>0.76300000000000001</v>
      </c>
      <c r="U5" s="41">
        <v>14</v>
      </c>
      <c r="V5" s="41">
        <v>31.1</v>
      </c>
      <c r="W5" s="41">
        <v>38.299999999999997</v>
      </c>
      <c r="X5" s="41">
        <v>6.7000000000000004E-2</v>
      </c>
      <c r="Y5" s="41">
        <v>44.5</v>
      </c>
      <c r="Z5" s="41">
        <v>9.9000000000000005E-2</v>
      </c>
      <c r="AA5" s="41">
        <v>0.16600000000000001</v>
      </c>
      <c r="AB5" s="41">
        <v>0.16700000000000001</v>
      </c>
      <c r="AC5" s="41">
        <v>0.254</v>
      </c>
      <c r="AD5" s="68">
        <v>0.33300000000000002</v>
      </c>
      <c r="AE5" s="41">
        <v>31</v>
      </c>
      <c r="AF5" s="41">
        <v>3</v>
      </c>
      <c r="AG5" s="41">
        <v>37</v>
      </c>
    </row>
    <row r="6" spans="1:33" x14ac:dyDescent="0.45">
      <c r="A6" s="2" t="s">
        <v>49</v>
      </c>
      <c r="B6" s="2">
        <v>2</v>
      </c>
      <c r="C6" s="2">
        <v>1.1559999999999999</v>
      </c>
      <c r="D6" s="2">
        <v>1.0329999999999999</v>
      </c>
      <c r="E6" s="2">
        <v>0.123</v>
      </c>
      <c r="F6" s="2">
        <v>45.1</v>
      </c>
      <c r="G6" s="2">
        <v>34.799999999999997</v>
      </c>
      <c r="H6" s="2">
        <v>20.100000000000001</v>
      </c>
      <c r="I6" s="2">
        <v>120</v>
      </c>
      <c r="J6" s="2">
        <v>35</v>
      </c>
      <c r="K6" s="2">
        <v>46.2</v>
      </c>
      <c r="L6" s="2">
        <v>56.4</v>
      </c>
      <c r="M6" s="2">
        <v>0.72</v>
      </c>
      <c r="N6" s="2">
        <v>0.40100000000000002</v>
      </c>
      <c r="O6" s="2">
        <v>78.8</v>
      </c>
      <c r="P6" s="2">
        <v>0.97399999999999998</v>
      </c>
      <c r="Q6" s="2">
        <v>-2.4</v>
      </c>
      <c r="R6" s="2">
        <v>68.5</v>
      </c>
      <c r="S6" s="2">
        <v>32.700000000000003</v>
      </c>
      <c r="T6" s="25">
        <v>0.73099999999999998</v>
      </c>
      <c r="U6" s="2">
        <v>16.2</v>
      </c>
      <c r="V6" s="2">
        <v>30.4</v>
      </c>
      <c r="W6" s="2">
        <v>34.6</v>
      </c>
      <c r="X6" s="2">
        <v>6.6000000000000003E-2</v>
      </c>
      <c r="Y6" s="2">
        <v>47.9</v>
      </c>
      <c r="Z6" s="2">
        <v>7.6999999999999999E-2</v>
      </c>
      <c r="AA6" s="2">
        <v>0.16300000000000001</v>
      </c>
      <c r="AB6" s="2">
        <v>0.13</v>
      </c>
      <c r="AC6" s="2">
        <v>0.33900000000000002</v>
      </c>
      <c r="AD6" s="67">
        <v>0.66700000000000004</v>
      </c>
      <c r="AE6" s="2">
        <v>25</v>
      </c>
      <c r="AF6" s="2">
        <v>8</v>
      </c>
      <c r="AG6" s="2">
        <v>1</v>
      </c>
    </row>
    <row r="7" spans="1:33" x14ac:dyDescent="0.45">
      <c r="A7" s="1" t="s">
        <v>37</v>
      </c>
      <c r="B7" s="2">
        <v>2</v>
      </c>
      <c r="C7" s="2">
        <v>1.069</v>
      </c>
      <c r="D7" s="2">
        <v>0.89500000000000002</v>
      </c>
      <c r="E7" s="2">
        <v>0.17399999999999999</v>
      </c>
      <c r="F7" s="2">
        <v>59</v>
      </c>
      <c r="G7" s="2">
        <v>23.5</v>
      </c>
      <c r="H7" s="2">
        <v>17.600000000000001</v>
      </c>
      <c r="I7" s="2">
        <v>104.4</v>
      </c>
      <c r="J7" s="2">
        <v>30.4</v>
      </c>
      <c r="K7" s="2">
        <v>30.3</v>
      </c>
      <c r="L7" s="2">
        <v>49.7</v>
      </c>
      <c r="M7" s="2">
        <v>0.69099999999999995</v>
      </c>
      <c r="N7" s="2">
        <v>0.30199999999999999</v>
      </c>
      <c r="O7" s="2">
        <v>73.599999999999994</v>
      </c>
      <c r="P7" s="2">
        <v>1.0229999999999999</v>
      </c>
      <c r="Q7" s="2">
        <v>7.8</v>
      </c>
      <c r="R7" s="2">
        <v>55.7</v>
      </c>
      <c r="S7" s="2">
        <v>35.5</v>
      </c>
      <c r="T7" s="25">
        <v>0.72799999999999998</v>
      </c>
      <c r="U7" s="2">
        <v>15.1</v>
      </c>
      <c r="V7" s="2">
        <v>30.6</v>
      </c>
      <c r="W7" s="2">
        <v>40.799999999999997</v>
      </c>
      <c r="X7" s="2">
        <v>8.7999999999999995E-2</v>
      </c>
      <c r="Y7" s="2">
        <v>46.6</v>
      </c>
      <c r="Z7" s="2">
        <v>0.121</v>
      </c>
      <c r="AA7" s="2">
        <v>0.17499999999999999</v>
      </c>
      <c r="AB7" s="2">
        <v>0.20899999999999999</v>
      </c>
      <c r="AC7" s="2">
        <v>0.30399999999999999</v>
      </c>
      <c r="AD7" s="67">
        <v>0.5</v>
      </c>
      <c r="AE7" s="2">
        <v>30</v>
      </c>
      <c r="AF7" s="2">
        <v>4</v>
      </c>
      <c r="AG7" s="2">
        <v>40</v>
      </c>
    </row>
    <row r="8" spans="1:33" x14ac:dyDescent="0.45">
      <c r="A8" s="1" t="s">
        <v>24</v>
      </c>
      <c r="B8" s="2">
        <v>2</v>
      </c>
      <c r="C8" s="2">
        <v>1.1020000000000001</v>
      </c>
      <c r="D8" s="2">
        <v>0.94799999999999995</v>
      </c>
      <c r="E8" s="2">
        <v>0.154</v>
      </c>
      <c r="F8" s="2">
        <v>54.5</v>
      </c>
      <c r="G8" s="2">
        <v>23.1</v>
      </c>
      <c r="H8" s="2">
        <v>22.4</v>
      </c>
      <c r="I8" s="2">
        <v>111.5</v>
      </c>
      <c r="J8" s="2">
        <v>30.8</v>
      </c>
      <c r="K8" s="2">
        <v>32.700000000000003</v>
      </c>
      <c r="L8" s="2">
        <v>51.2</v>
      </c>
      <c r="M8" s="2">
        <v>0.77900000000000003</v>
      </c>
      <c r="N8" s="2">
        <v>0.378</v>
      </c>
      <c r="O8" s="2">
        <v>70.900000000000006</v>
      </c>
      <c r="P8" s="2">
        <v>0.98699999999999999</v>
      </c>
      <c r="Q8" s="2">
        <v>2.7</v>
      </c>
      <c r="R8" s="2">
        <v>57.8</v>
      </c>
      <c r="S8" s="2">
        <v>33.700000000000003</v>
      </c>
      <c r="T8" s="25">
        <v>0.77100000000000002</v>
      </c>
      <c r="U8" s="2">
        <v>16.3</v>
      </c>
      <c r="V8" s="2">
        <v>28</v>
      </c>
      <c r="W8" s="2">
        <v>40.700000000000003</v>
      </c>
      <c r="X8" s="2">
        <v>7.8E-2</v>
      </c>
      <c r="Y8" s="2">
        <v>46.1</v>
      </c>
      <c r="Z8" s="2">
        <v>7.6999999999999999E-2</v>
      </c>
      <c r="AA8" s="2">
        <v>0.17399999999999999</v>
      </c>
      <c r="AB8" s="2">
        <v>0.159</v>
      </c>
      <c r="AC8" s="2">
        <v>0.33100000000000002</v>
      </c>
      <c r="AD8" s="67">
        <v>0.57099999999999995</v>
      </c>
      <c r="AE8" s="2">
        <v>27</v>
      </c>
      <c r="AF8" s="2">
        <v>6</v>
      </c>
      <c r="AG8" s="2">
        <v>19</v>
      </c>
    </row>
    <row r="9" spans="1:33" s="15" customFormat="1" ht="14.65" thickBot="1" x14ac:dyDescent="0.5">
      <c r="A9" s="13" t="s">
        <v>61</v>
      </c>
      <c r="B9" s="41">
        <v>2</v>
      </c>
      <c r="C9" s="41">
        <v>1.1060000000000001</v>
      </c>
      <c r="D9" s="41">
        <v>0.93200000000000005</v>
      </c>
      <c r="E9" s="41">
        <v>0.17399999999999999</v>
      </c>
      <c r="F9" s="41">
        <v>46.2</v>
      </c>
      <c r="G9" s="41">
        <v>33.9</v>
      </c>
      <c r="H9" s="41">
        <v>20</v>
      </c>
      <c r="I9" s="41">
        <v>113.2</v>
      </c>
      <c r="J9" s="41">
        <v>34</v>
      </c>
      <c r="K9" s="41">
        <v>43</v>
      </c>
      <c r="L9" s="41">
        <v>52.8</v>
      </c>
      <c r="M9" s="41">
        <v>0.745</v>
      </c>
      <c r="N9" s="41">
        <v>0.35399999999999998</v>
      </c>
      <c r="O9" s="41">
        <v>67.599999999999994</v>
      </c>
      <c r="P9" s="41">
        <v>0.98699999999999999</v>
      </c>
      <c r="Q9" s="41">
        <v>2.4</v>
      </c>
      <c r="R9" s="41">
        <v>59.3</v>
      </c>
      <c r="S9" s="41">
        <v>33.6</v>
      </c>
      <c r="T9" s="61">
        <v>0.73699999999999999</v>
      </c>
      <c r="U9" s="41">
        <v>15.5</v>
      </c>
      <c r="V9" s="41">
        <v>28.7</v>
      </c>
      <c r="W9" s="41">
        <v>44.6</v>
      </c>
      <c r="X9" s="41">
        <v>8.4000000000000005E-2</v>
      </c>
      <c r="Y9" s="41">
        <v>44.4</v>
      </c>
      <c r="Z9" s="41">
        <v>0.104</v>
      </c>
      <c r="AA9" s="41">
        <v>0.151</v>
      </c>
      <c r="AB9" s="41">
        <v>0.17299999999999999</v>
      </c>
      <c r="AC9" s="41">
        <v>0.29399999999999998</v>
      </c>
      <c r="AD9" s="68">
        <v>0.6</v>
      </c>
      <c r="AE9" s="41">
        <v>27</v>
      </c>
      <c r="AF9" s="41">
        <v>7</v>
      </c>
      <c r="AG9" s="41">
        <v>17</v>
      </c>
    </row>
    <row r="10" spans="1:33" x14ac:dyDescent="0.45">
      <c r="A10" s="2" t="s">
        <v>58</v>
      </c>
      <c r="B10" s="2">
        <v>3</v>
      </c>
      <c r="C10" s="2">
        <v>1.1459999999999999</v>
      </c>
      <c r="D10" s="2">
        <v>1.046</v>
      </c>
      <c r="E10" s="2">
        <v>0.1</v>
      </c>
      <c r="F10" s="2">
        <v>47.4</v>
      </c>
      <c r="G10" s="2">
        <v>33.799999999999997</v>
      </c>
      <c r="H10" s="2">
        <v>18.8</v>
      </c>
      <c r="I10" s="2">
        <v>117.9</v>
      </c>
      <c r="J10" s="2">
        <v>37.4</v>
      </c>
      <c r="K10" s="2">
        <v>41.7</v>
      </c>
      <c r="L10" s="2">
        <v>56</v>
      </c>
      <c r="M10" s="2">
        <v>0.73099999999999998</v>
      </c>
      <c r="N10" s="2">
        <v>0.35899999999999999</v>
      </c>
      <c r="O10" s="2">
        <v>74.400000000000006</v>
      </c>
      <c r="P10" s="2">
        <v>0.96799999999999997</v>
      </c>
      <c r="Q10" s="2">
        <v>-0.6</v>
      </c>
      <c r="R10" s="2">
        <v>60.6</v>
      </c>
      <c r="S10" s="2">
        <v>27</v>
      </c>
      <c r="T10" s="25">
        <v>0.748</v>
      </c>
      <c r="U10" s="2">
        <v>14.9</v>
      </c>
      <c r="V10" s="2">
        <v>30.5</v>
      </c>
      <c r="W10" s="2">
        <v>43.7</v>
      </c>
      <c r="X10" s="2">
        <v>6.4000000000000001E-2</v>
      </c>
      <c r="Y10" s="2">
        <v>50.4</v>
      </c>
      <c r="Z10" s="2">
        <v>9.2999999999999999E-2</v>
      </c>
      <c r="AA10" s="2">
        <v>0.17199999999999999</v>
      </c>
      <c r="AB10" s="2">
        <v>0.13900000000000001</v>
      </c>
      <c r="AC10" s="2">
        <v>0.31</v>
      </c>
      <c r="AD10" s="67">
        <v>0.6</v>
      </c>
      <c r="AE10" s="2">
        <v>22</v>
      </c>
      <c r="AF10" s="2">
        <v>11</v>
      </c>
      <c r="AG10" s="2">
        <v>10</v>
      </c>
    </row>
    <row r="11" spans="1:33" x14ac:dyDescent="0.45">
      <c r="A11" s="1" t="s">
        <v>20</v>
      </c>
      <c r="B11" s="2">
        <v>3</v>
      </c>
      <c r="C11" s="2">
        <v>1.115</v>
      </c>
      <c r="D11" s="2">
        <v>0.94499999999999995</v>
      </c>
      <c r="E11" s="2">
        <v>0.17</v>
      </c>
      <c r="F11" s="2">
        <v>50.8</v>
      </c>
      <c r="G11" s="2">
        <v>28.6</v>
      </c>
      <c r="H11" s="2">
        <v>20.6</v>
      </c>
      <c r="I11" s="2">
        <v>117.2</v>
      </c>
      <c r="J11" s="2">
        <v>35.799999999999997</v>
      </c>
      <c r="K11" s="2">
        <v>36.9</v>
      </c>
      <c r="L11" s="2">
        <v>54.6</v>
      </c>
      <c r="M11" s="2">
        <v>0.753</v>
      </c>
      <c r="N11" s="2">
        <v>0.38500000000000001</v>
      </c>
      <c r="O11" s="2">
        <v>72.099999999999994</v>
      </c>
      <c r="P11" s="2">
        <v>0.95699999999999996</v>
      </c>
      <c r="Q11" s="2">
        <v>4</v>
      </c>
      <c r="R11" s="2">
        <v>60.9</v>
      </c>
      <c r="S11" s="2">
        <v>30.5</v>
      </c>
      <c r="T11" s="25">
        <v>0.74399999999999999</v>
      </c>
      <c r="U11" s="2">
        <v>16.5</v>
      </c>
      <c r="V11" s="2">
        <v>33.6</v>
      </c>
      <c r="W11" s="2">
        <v>40.9</v>
      </c>
      <c r="X11" s="2">
        <v>0.06</v>
      </c>
      <c r="Y11" s="2">
        <v>48.4</v>
      </c>
      <c r="Z11" s="2">
        <v>0.129</v>
      </c>
      <c r="AA11" s="2">
        <v>0.186</v>
      </c>
      <c r="AB11" s="2">
        <v>0.21199999999999999</v>
      </c>
      <c r="AC11" s="2">
        <v>0.28899999999999998</v>
      </c>
      <c r="AD11" s="67">
        <v>0.4</v>
      </c>
      <c r="AE11" s="2">
        <v>24</v>
      </c>
      <c r="AF11" s="2">
        <v>9</v>
      </c>
      <c r="AG11" s="2">
        <v>30</v>
      </c>
    </row>
    <row r="12" spans="1:33" x14ac:dyDescent="0.45">
      <c r="A12" s="1" t="s">
        <v>34</v>
      </c>
      <c r="B12" s="2">
        <v>3</v>
      </c>
      <c r="C12" s="2">
        <v>1.1719999999999999</v>
      </c>
      <c r="D12" s="2">
        <v>0.97899999999999998</v>
      </c>
      <c r="E12" s="2">
        <v>0.193</v>
      </c>
      <c r="F12" s="2">
        <v>45.8</v>
      </c>
      <c r="G12" s="2">
        <v>37.200000000000003</v>
      </c>
      <c r="H12" s="2">
        <v>17.100000000000001</v>
      </c>
      <c r="I12" s="2">
        <v>116.1</v>
      </c>
      <c r="J12" s="2">
        <v>37.9</v>
      </c>
      <c r="K12" s="2">
        <v>44.6</v>
      </c>
      <c r="L12" s="2">
        <v>55.5</v>
      </c>
      <c r="M12" s="2">
        <v>0.76</v>
      </c>
      <c r="N12" s="2">
        <v>0.29699999999999999</v>
      </c>
      <c r="O12" s="2">
        <v>69</v>
      </c>
      <c r="P12" s="2">
        <v>1.006</v>
      </c>
      <c r="Q12" s="2">
        <v>3.4</v>
      </c>
      <c r="R12" s="2">
        <v>59.4</v>
      </c>
      <c r="S12" s="2">
        <v>32.200000000000003</v>
      </c>
      <c r="T12" s="25">
        <v>0.73099999999999998</v>
      </c>
      <c r="U12" s="2">
        <v>14.4</v>
      </c>
      <c r="V12" s="2">
        <v>32.4</v>
      </c>
      <c r="W12" s="2">
        <v>34.6</v>
      </c>
      <c r="X12" s="2">
        <v>5.5E-2</v>
      </c>
      <c r="Y12" s="2">
        <v>48</v>
      </c>
      <c r="Z12" s="2">
        <v>9.1999999999999998E-2</v>
      </c>
      <c r="AA12" s="2">
        <v>0.16200000000000001</v>
      </c>
      <c r="AB12" s="2">
        <v>0.16700000000000001</v>
      </c>
      <c r="AC12" s="2">
        <v>0.33500000000000002</v>
      </c>
      <c r="AD12" s="67">
        <v>0.58299999999999996</v>
      </c>
      <c r="AE12" s="2">
        <v>25</v>
      </c>
      <c r="AF12" s="2">
        <v>8</v>
      </c>
      <c r="AG12" s="2">
        <v>47</v>
      </c>
    </row>
    <row r="13" spans="1:33" s="15" customFormat="1" ht="14.65" thickBot="1" x14ac:dyDescent="0.5">
      <c r="A13" s="13" t="s">
        <v>45</v>
      </c>
      <c r="B13" s="41">
        <v>3</v>
      </c>
      <c r="C13" s="41">
        <v>1.131</v>
      </c>
      <c r="D13" s="41">
        <v>0.999</v>
      </c>
      <c r="E13" s="41">
        <v>0.13200000000000001</v>
      </c>
      <c r="F13" s="41">
        <v>42.2</v>
      </c>
      <c r="G13" s="41">
        <v>37</v>
      </c>
      <c r="H13" s="41">
        <v>20.8</v>
      </c>
      <c r="I13" s="41">
        <v>116.8</v>
      </c>
      <c r="J13" s="41">
        <v>34.9</v>
      </c>
      <c r="K13" s="41">
        <v>48.1</v>
      </c>
      <c r="L13" s="41">
        <v>53.6</v>
      </c>
      <c r="M13" s="41">
        <v>0.82599999999999996</v>
      </c>
      <c r="N13" s="41">
        <v>0.33800000000000002</v>
      </c>
      <c r="O13" s="41">
        <v>70.5</v>
      </c>
      <c r="P13" s="41">
        <v>0.97099999999999997</v>
      </c>
      <c r="Q13" s="41">
        <v>-0.5</v>
      </c>
      <c r="R13" s="41">
        <v>61.8</v>
      </c>
      <c r="S13" s="41">
        <v>24.7</v>
      </c>
      <c r="T13" s="61">
        <v>0.752</v>
      </c>
      <c r="U13" s="41">
        <v>13.8</v>
      </c>
      <c r="V13" s="41">
        <v>33.299999999999997</v>
      </c>
      <c r="W13" s="41">
        <v>39.1</v>
      </c>
      <c r="X13" s="41">
        <v>3.9E-2</v>
      </c>
      <c r="Y13" s="41">
        <v>47.9</v>
      </c>
      <c r="Z13" s="41">
        <v>7.2999999999999995E-2</v>
      </c>
      <c r="AA13" s="41">
        <v>0.17899999999999999</v>
      </c>
      <c r="AB13" s="41">
        <v>0.14099999999999999</v>
      </c>
      <c r="AC13" s="41">
        <v>0.28100000000000003</v>
      </c>
      <c r="AD13" s="68">
        <v>0.5</v>
      </c>
      <c r="AE13" s="41">
        <v>26</v>
      </c>
      <c r="AF13" s="41">
        <v>9</v>
      </c>
      <c r="AG13" s="41">
        <v>18</v>
      </c>
    </row>
    <row r="14" spans="1:33" x14ac:dyDescent="0.45">
      <c r="A14" s="2" t="s">
        <v>55</v>
      </c>
      <c r="B14" s="2">
        <v>4</v>
      </c>
      <c r="C14" s="2">
        <v>1.1499999999999999</v>
      </c>
      <c r="D14" s="2">
        <v>1.0489999999999999</v>
      </c>
      <c r="E14" s="2">
        <v>0.10100000000000001</v>
      </c>
      <c r="F14" s="2">
        <v>49.6</v>
      </c>
      <c r="G14" s="2">
        <v>31.9</v>
      </c>
      <c r="H14" s="2">
        <v>18.5</v>
      </c>
      <c r="I14" s="2">
        <v>118.2</v>
      </c>
      <c r="J14" s="2">
        <v>38.5</v>
      </c>
      <c r="K14" s="2">
        <v>38.1</v>
      </c>
      <c r="L14" s="2">
        <v>56.3</v>
      </c>
      <c r="M14" s="2">
        <v>0.73199999999999998</v>
      </c>
      <c r="N14" s="2">
        <v>0.34599999999999997</v>
      </c>
      <c r="O14" s="2">
        <v>67.7</v>
      </c>
      <c r="P14" s="2">
        <v>0.97</v>
      </c>
      <c r="Q14" s="2">
        <v>1.1000000000000001</v>
      </c>
      <c r="R14" s="2">
        <v>60.3</v>
      </c>
      <c r="S14" s="2">
        <v>29.2</v>
      </c>
      <c r="T14" s="25">
        <v>0.71299999999999997</v>
      </c>
      <c r="U14" s="2">
        <v>15.3</v>
      </c>
      <c r="V14" s="2">
        <v>31.2</v>
      </c>
      <c r="W14" s="2">
        <v>42.6</v>
      </c>
      <c r="X14" s="2">
        <v>2.9000000000000001E-2</v>
      </c>
      <c r="Y14" s="2">
        <v>52</v>
      </c>
      <c r="Z14" s="2">
        <v>9.6000000000000002E-2</v>
      </c>
      <c r="AA14" s="2">
        <v>0.217</v>
      </c>
      <c r="AB14" s="2">
        <v>0.17399999999999999</v>
      </c>
      <c r="AC14" s="2">
        <v>0.31</v>
      </c>
      <c r="AD14" s="67">
        <v>0.57099999999999995</v>
      </c>
      <c r="AE14" s="2">
        <v>22</v>
      </c>
      <c r="AF14" s="2">
        <v>11</v>
      </c>
      <c r="AG14" s="2">
        <v>2</v>
      </c>
    </row>
    <row r="15" spans="1:33" x14ac:dyDescent="0.45">
      <c r="A15" s="1" t="s">
        <v>43</v>
      </c>
      <c r="B15" s="2">
        <v>4</v>
      </c>
      <c r="C15" s="2">
        <v>1.1259999999999999</v>
      </c>
      <c r="D15" s="2">
        <v>0.998</v>
      </c>
      <c r="E15" s="2">
        <v>0.128</v>
      </c>
      <c r="F15" s="2">
        <v>53.1</v>
      </c>
      <c r="G15" s="2">
        <v>26.1</v>
      </c>
      <c r="H15" s="2">
        <v>20.8</v>
      </c>
      <c r="I15" s="2">
        <v>115</v>
      </c>
      <c r="J15" s="2">
        <v>32.4</v>
      </c>
      <c r="K15" s="2">
        <v>34.6</v>
      </c>
      <c r="L15" s="2">
        <v>52.9</v>
      </c>
      <c r="M15" s="2">
        <v>0.78</v>
      </c>
      <c r="N15" s="2">
        <v>0.36599999999999999</v>
      </c>
      <c r="O15" s="2">
        <v>72.599999999999994</v>
      </c>
      <c r="P15" s="2">
        <v>0.99</v>
      </c>
      <c r="Q15" s="2">
        <v>2.1</v>
      </c>
      <c r="R15" s="2">
        <v>58.9</v>
      </c>
      <c r="S15" s="2">
        <v>34.6</v>
      </c>
      <c r="T15" s="25">
        <v>0.748</v>
      </c>
      <c r="U15" s="2">
        <v>15.8</v>
      </c>
      <c r="V15" s="2">
        <v>34</v>
      </c>
      <c r="W15" s="2">
        <v>41.3</v>
      </c>
      <c r="X15" s="2">
        <v>7.0999999999999994E-2</v>
      </c>
      <c r="Y15" s="2">
        <v>48.6</v>
      </c>
      <c r="Z15" s="2">
        <v>0.104</v>
      </c>
      <c r="AA15" s="2">
        <v>0.184</v>
      </c>
      <c r="AB15" s="2">
        <v>0.158</v>
      </c>
      <c r="AC15" s="2">
        <v>0.29199999999999998</v>
      </c>
      <c r="AD15" s="67">
        <v>0.16700000000000001</v>
      </c>
      <c r="AE15" s="2">
        <v>22</v>
      </c>
      <c r="AF15" s="2">
        <v>12</v>
      </c>
      <c r="AG15" s="2">
        <v>6</v>
      </c>
    </row>
    <row r="16" spans="1:33" x14ac:dyDescent="0.45">
      <c r="A16" s="1" t="s">
        <v>69</v>
      </c>
      <c r="B16" s="2">
        <v>4</v>
      </c>
      <c r="C16" s="2">
        <v>1.0580000000000001</v>
      </c>
      <c r="D16" s="2">
        <v>0.96799999999999997</v>
      </c>
      <c r="E16" s="2">
        <v>0.09</v>
      </c>
      <c r="F16" s="2">
        <v>48.9</v>
      </c>
      <c r="G16" s="2">
        <v>28</v>
      </c>
      <c r="H16" s="2">
        <v>23.1</v>
      </c>
      <c r="I16" s="2">
        <v>103.5</v>
      </c>
      <c r="J16" s="2">
        <v>37.4</v>
      </c>
      <c r="K16" s="2">
        <v>41.7</v>
      </c>
      <c r="L16" s="2">
        <v>56</v>
      </c>
      <c r="M16" s="2">
        <v>0.69199999999999995</v>
      </c>
      <c r="N16" s="2">
        <v>0.41699999999999998</v>
      </c>
      <c r="O16" s="2">
        <v>70.2</v>
      </c>
      <c r="P16" s="2">
        <v>1.0189999999999999</v>
      </c>
      <c r="Q16" s="2">
        <v>6.6</v>
      </c>
      <c r="R16" s="2">
        <v>56.7</v>
      </c>
      <c r="S16" s="2">
        <v>40.200000000000003</v>
      </c>
      <c r="T16" s="25">
        <v>0.745</v>
      </c>
      <c r="U16" s="2">
        <v>17.600000000000001</v>
      </c>
      <c r="V16" s="2">
        <v>33.299999999999997</v>
      </c>
      <c r="W16" s="2">
        <v>46.2</v>
      </c>
      <c r="X16" s="2">
        <v>7.2999999999999995E-2</v>
      </c>
      <c r="Y16" s="2">
        <v>48.2</v>
      </c>
      <c r="Z16" s="2">
        <v>0.107</v>
      </c>
      <c r="AA16" s="2">
        <v>0.20699999999999999</v>
      </c>
      <c r="AB16" s="2">
        <v>0.188</v>
      </c>
      <c r="AC16" s="2">
        <v>0.35299999999999998</v>
      </c>
      <c r="AD16" s="67">
        <v>0.66700000000000004</v>
      </c>
      <c r="AE16" s="2">
        <v>22</v>
      </c>
      <c r="AF16" s="2">
        <v>10</v>
      </c>
      <c r="AG16" s="2">
        <v>8</v>
      </c>
    </row>
    <row r="17" spans="1:33" s="15" customFormat="1" ht="14.65" thickBot="1" x14ac:dyDescent="0.5">
      <c r="A17" s="13" t="s">
        <v>30</v>
      </c>
      <c r="B17" s="41">
        <v>4</v>
      </c>
      <c r="C17" s="41">
        <v>1.127</v>
      </c>
      <c r="D17" s="41">
        <v>0.92400000000000004</v>
      </c>
      <c r="E17" s="41">
        <v>0.20300000000000001</v>
      </c>
      <c r="F17" s="41">
        <v>51.2</v>
      </c>
      <c r="G17" s="41">
        <v>30</v>
      </c>
      <c r="H17" s="41">
        <v>18.8</v>
      </c>
      <c r="I17" s="41">
        <v>114</v>
      </c>
      <c r="J17" s="41">
        <v>37.200000000000003</v>
      </c>
      <c r="K17" s="41">
        <v>35.5</v>
      </c>
      <c r="L17" s="41">
        <v>53.8</v>
      </c>
      <c r="M17" s="41">
        <v>0.75</v>
      </c>
      <c r="N17" s="41">
        <v>0.32900000000000001</v>
      </c>
      <c r="O17" s="41">
        <v>72.5</v>
      </c>
      <c r="P17" s="41">
        <v>0.98299999999999998</v>
      </c>
      <c r="Q17" s="41">
        <v>4.3</v>
      </c>
      <c r="R17" s="41">
        <v>56</v>
      </c>
      <c r="S17" s="41">
        <v>28.9</v>
      </c>
      <c r="T17" s="61">
        <v>0.73799999999999999</v>
      </c>
      <c r="U17" s="41">
        <v>14.2</v>
      </c>
      <c r="V17" s="41">
        <v>30.6</v>
      </c>
      <c r="W17" s="41">
        <v>36.200000000000003</v>
      </c>
      <c r="X17" s="41">
        <v>7.4999999999999997E-2</v>
      </c>
      <c r="Y17" s="41">
        <v>47</v>
      </c>
      <c r="Z17" s="41">
        <v>0.109</v>
      </c>
      <c r="AA17" s="41">
        <v>0.16700000000000001</v>
      </c>
      <c r="AB17" s="41">
        <v>0.19700000000000001</v>
      </c>
      <c r="AC17" s="41">
        <v>0.25900000000000001</v>
      </c>
      <c r="AD17" s="68">
        <v>0.36399999999999999</v>
      </c>
      <c r="AE17" s="41">
        <v>25</v>
      </c>
      <c r="AF17" s="41">
        <v>8</v>
      </c>
      <c r="AG17" s="41">
        <v>61</v>
      </c>
    </row>
    <row r="18" spans="1:33" x14ac:dyDescent="0.45">
      <c r="A18" s="2" t="s">
        <v>41</v>
      </c>
      <c r="B18" s="2">
        <v>5</v>
      </c>
      <c r="C18" s="2">
        <v>1.0740000000000001</v>
      </c>
      <c r="D18" s="2">
        <v>0.999</v>
      </c>
      <c r="E18" s="2">
        <v>7.4999999999999997E-2</v>
      </c>
      <c r="F18" s="2">
        <v>50.5</v>
      </c>
      <c r="G18" s="2">
        <v>30.3</v>
      </c>
      <c r="H18" s="2">
        <v>19.2</v>
      </c>
      <c r="I18" s="2">
        <v>112.4</v>
      </c>
      <c r="J18" s="2">
        <v>34</v>
      </c>
      <c r="K18" s="2">
        <v>38.6</v>
      </c>
      <c r="L18" s="2">
        <v>52.2</v>
      </c>
      <c r="M18" s="2">
        <v>0.75700000000000001</v>
      </c>
      <c r="N18" s="2">
        <v>0.33400000000000002</v>
      </c>
      <c r="O18" s="2">
        <v>71</v>
      </c>
      <c r="P18" s="2">
        <v>0.95599999999999996</v>
      </c>
      <c r="Q18" s="2">
        <v>-0.2</v>
      </c>
      <c r="R18" s="2">
        <v>58.4</v>
      </c>
      <c r="S18" s="2">
        <v>27.6</v>
      </c>
      <c r="T18" s="25">
        <v>0.72099999999999997</v>
      </c>
      <c r="U18" s="2">
        <v>15.9</v>
      </c>
      <c r="V18" s="2">
        <v>31.6</v>
      </c>
      <c r="W18" s="2">
        <v>37.700000000000003</v>
      </c>
      <c r="X18" s="2">
        <v>6.2E-2</v>
      </c>
      <c r="Y18" s="2">
        <v>49</v>
      </c>
      <c r="Z18" s="2">
        <v>0.10100000000000001</v>
      </c>
      <c r="AA18" s="2">
        <v>0.182</v>
      </c>
      <c r="AB18" s="2">
        <v>0.17100000000000001</v>
      </c>
      <c r="AC18" s="2">
        <v>0.27800000000000002</v>
      </c>
      <c r="AD18" s="67">
        <v>0.77800000000000002</v>
      </c>
      <c r="AE18" s="2">
        <v>24</v>
      </c>
      <c r="AF18" s="2">
        <v>9</v>
      </c>
      <c r="AG18" s="2">
        <v>12</v>
      </c>
    </row>
    <row r="19" spans="1:33" x14ac:dyDescent="0.45">
      <c r="A19" s="1" t="s">
        <v>54</v>
      </c>
      <c r="B19" s="2">
        <v>5</v>
      </c>
      <c r="C19" s="2">
        <v>1.123</v>
      </c>
      <c r="D19" s="2">
        <v>0.96599999999999997</v>
      </c>
      <c r="E19" s="2">
        <v>0.157</v>
      </c>
      <c r="F19" s="2">
        <v>49.7</v>
      </c>
      <c r="G19" s="2">
        <v>33.4</v>
      </c>
      <c r="H19" s="2">
        <v>16.899999999999999</v>
      </c>
      <c r="I19" s="2">
        <v>113.3</v>
      </c>
      <c r="J19" s="2">
        <v>37.200000000000003</v>
      </c>
      <c r="K19" s="2">
        <v>38.4</v>
      </c>
      <c r="L19" s="2">
        <v>53.6</v>
      </c>
      <c r="M19" s="2">
        <v>0.76800000000000002</v>
      </c>
      <c r="N19" s="2">
        <v>0.28199999999999997</v>
      </c>
      <c r="O19" s="2">
        <v>68</v>
      </c>
      <c r="P19" s="2">
        <v>0.98799999999999999</v>
      </c>
      <c r="Q19" s="2">
        <v>3.4</v>
      </c>
      <c r="R19" s="2">
        <v>56.9</v>
      </c>
      <c r="S19" s="2">
        <v>31.9</v>
      </c>
      <c r="T19" s="25">
        <v>0.71399999999999997</v>
      </c>
      <c r="U19" s="2">
        <v>15.4</v>
      </c>
      <c r="V19" s="2">
        <v>31.9</v>
      </c>
      <c r="W19" s="2">
        <v>38</v>
      </c>
      <c r="X19" s="2">
        <v>6.2E-2</v>
      </c>
      <c r="Y19" s="2">
        <v>48.9</v>
      </c>
      <c r="Z19" s="2">
        <v>0.109</v>
      </c>
      <c r="AA19" s="2">
        <v>0.155</v>
      </c>
      <c r="AB19" s="2">
        <v>0.19600000000000001</v>
      </c>
      <c r="AC19" s="2">
        <v>0.27600000000000002</v>
      </c>
      <c r="AD19" s="67">
        <v>0.42899999999999999</v>
      </c>
      <c r="AE19" s="2">
        <v>27</v>
      </c>
      <c r="AF19" s="2">
        <v>6</v>
      </c>
      <c r="AG19" s="2">
        <v>59</v>
      </c>
    </row>
    <row r="20" spans="1:33" x14ac:dyDescent="0.45">
      <c r="A20" s="1" t="s">
        <v>28</v>
      </c>
      <c r="B20" s="2">
        <v>5</v>
      </c>
      <c r="C20" s="2">
        <v>1.085</v>
      </c>
      <c r="D20" s="2">
        <v>0.99199999999999999</v>
      </c>
      <c r="E20" s="2">
        <v>9.2999999999999999E-2</v>
      </c>
      <c r="F20" s="2">
        <v>51.6</v>
      </c>
      <c r="G20" s="2">
        <v>27.9</v>
      </c>
      <c r="H20" s="2">
        <v>20.5</v>
      </c>
      <c r="I20" s="2">
        <v>113.4</v>
      </c>
      <c r="J20" s="2">
        <v>38</v>
      </c>
      <c r="K20" s="2">
        <v>33.1</v>
      </c>
      <c r="L20" s="2">
        <v>53.6</v>
      </c>
      <c r="M20" s="2">
        <v>0.70199999999999996</v>
      </c>
      <c r="N20" s="2">
        <v>0.39400000000000002</v>
      </c>
      <c r="O20" s="2">
        <v>73.8</v>
      </c>
      <c r="P20" s="2">
        <v>0.95699999999999996</v>
      </c>
      <c r="Q20" s="2">
        <v>0.4</v>
      </c>
      <c r="R20" s="2">
        <v>57.3</v>
      </c>
      <c r="S20" s="2">
        <v>33.799999999999997</v>
      </c>
      <c r="T20" s="25">
        <v>0.70199999999999996</v>
      </c>
      <c r="U20" s="2">
        <v>18.7</v>
      </c>
      <c r="V20" s="2">
        <v>32.4</v>
      </c>
      <c r="W20" s="2">
        <v>41</v>
      </c>
      <c r="X20" s="2">
        <v>7.8E-2</v>
      </c>
      <c r="Y20" s="2">
        <v>48.5</v>
      </c>
      <c r="Z20" s="2">
        <v>0.105</v>
      </c>
      <c r="AA20" s="2">
        <v>0.187</v>
      </c>
      <c r="AB20" s="2">
        <v>0.185</v>
      </c>
      <c r="AC20" s="2">
        <v>0.33600000000000002</v>
      </c>
      <c r="AD20" s="67">
        <v>0.90900000000000003</v>
      </c>
      <c r="AE20" s="2">
        <v>29</v>
      </c>
      <c r="AF20" s="2">
        <v>5</v>
      </c>
      <c r="AG20" s="2">
        <v>75</v>
      </c>
    </row>
    <row r="21" spans="1:33" s="15" customFormat="1" ht="14.65" thickBot="1" x14ac:dyDescent="0.5">
      <c r="A21" s="13" t="s">
        <v>17</v>
      </c>
      <c r="B21" s="41">
        <v>5</v>
      </c>
      <c r="C21" s="41">
        <v>1.0720000000000001</v>
      </c>
      <c r="D21" s="41">
        <v>0.97499999999999998</v>
      </c>
      <c r="E21" s="41">
        <v>9.7000000000000003E-2</v>
      </c>
      <c r="F21" s="41">
        <v>49.2</v>
      </c>
      <c r="G21" s="41">
        <v>31.5</v>
      </c>
      <c r="H21" s="41">
        <v>19.3</v>
      </c>
      <c r="I21" s="41">
        <v>114.8</v>
      </c>
      <c r="J21" s="41">
        <v>33.4</v>
      </c>
      <c r="K21" s="41">
        <v>42.5</v>
      </c>
      <c r="L21" s="41">
        <v>54.5</v>
      </c>
      <c r="M21" s="41">
        <v>0.72799999999999998</v>
      </c>
      <c r="N21" s="41">
        <v>0.35</v>
      </c>
      <c r="O21" s="41">
        <v>73</v>
      </c>
      <c r="P21" s="41">
        <v>0.93799999999999994</v>
      </c>
      <c r="Q21" s="41">
        <v>-3</v>
      </c>
      <c r="R21" s="41">
        <v>61.8</v>
      </c>
      <c r="S21" s="41">
        <v>31.2</v>
      </c>
      <c r="T21" s="61">
        <v>0.72499999999999998</v>
      </c>
      <c r="U21" s="41">
        <v>19.3</v>
      </c>
      <c r="V21" s="41">
        <v>30.8</v>
      </c>
      <c r="W21" s="41">
        <v>39.1</v>
      </c>
      <c r="X21" s="41">
        <v>5.8000000000000003E-2</v>
      </c>
      <c r="Y21" s="41">
        <v>46.3</v>
      </c>
      <c r="Z21" s="41">
        <v>7.1999999999999995E-2</v>
      </c>
      <c r="AA21" s="41">
        <v>0.155</v>
      </c>
      <c r="AB21" s="41">
        <v>0.153</v>
      </c>
      <c r="AC21" s="41">
        <v>0.28499999999999998</v>
      </c>
      <c r="AD21" s="68">
        <v>0.75</v>
      </c>
      <c r="AE21" s="41">
        <v>25</v>
      </c>
      <c r="AF21" s="41">
        <v>9</v>
      </c>
      <c r="AG21" s="41">
        <v>7</v>
      </c>
    </row>
    <row r="22" spans="1:33" x14ac:dyDescent="0.45">
      <c r="A22" s="2" t="s">
        <v>32</v>
      </c>
      <c r="B22" s="2">
        <v>6</v>
      </c>
      <c r="C22" s="2">
        <v>1.1779999999999999</v>
      </c>
      <c r="D22" s="2">
        <v>1.03</v>
      </c>
      <c r="E22" s="2">
        <v>0.14799999999999999</v>
      </c>
      <c r="F22" s="2">
        <v>45.2</v>
      </c>
      <c r="G22" s="2">
        <v>31.2</v>
      </c>
      <c r="H22" s="2">
        <v>23.6</v>
      </c>
      <c r="I22" s="2">
        <v>119.2</v>
      </c>
      <c r="J22" s="2">
        <v>37</v>
      </c>
      <c r="K22" s="2">
        <v>41.5</v>
      </c>
      <c r="L22" s="2">
        <v>56.2</v>
      </c>
      <c r="M22" s="2">
        <v>0.73</v>
      </c>
      <c r="N22" s="2">
        <v>0.46800000000000003</v>
      </c>
      <c r="O22" s="2">
        <v>71.7</v>
      </c>
      <c r="P22" s="2">
        <v>0.98299999999999998</v>
      </c>
      <c r="Q22" s="2">
        <v>3.4</v>
      </c>
      <c r="R22" s="2">
        <v>62.9</v>
      </c>
      <c r="S22" s="2">
        <v>32.6</v>
      </c>
      <c r="T22" s="25">
        <v>0.69299999999999995</v>
      </c>
      <c r="U22" s="2">
        <v>14.9</v>
      </c>
      <c r="V22" s="2">
        <v>33.6</v>
      </c>
      <c r="W22" s="2">
        <v>37.799999999999997</v>
      </c>
      <c r="X22" s="2">
        <v>4.5999999999999999E-2</v>
      </c>
      <c r="Y22" s="2">
        <v>50.7</v>
      </c>
      <c r="Z22" s="2">
        <v>0.13100000000000001</v>
      </c>
      <c r="AA22" s="2">
        <v>0.17499999999999999</v>
      </c>
      <c r="AB22" s="2">
        <v>0.19700000000000001</v>
      </c>
      <c r="AC22" s="2">
        <v>0.35299999999999998</v>
      </c>
      <c r="AD22" s="67">
        <v>0.33300000000000002</v>
      </c>
      <c r="AE22" s="2">
        <v>22</v>
      </c>
      <c r="AF22" s="2">
        <v>11</v>
      </c>
      <c r="AG22" s="2">
        <v>65</v>
      </c>
    </row>
    <row r="23" spans="1:33" x14ac:dyDescent="0.45">
      <c r="A23" s="1" t="s">
        <v>2</v>
      </c>
      <c r="B23" s="2">
        <v>6</v>
      </c>
      <c r="C23" s="2">
        <v>1.143</v>
      </c>
      <c r="D23" s="2">
        <v>1</v>
      </c>
      <c r="E23" s="2">
        <v>0.14299999999999999</v>
      </c>
      <c r="F23" s="2">
        <v>45.3</v>
      </c>
      <c r="G23" s="2">
        <v>38.700000000000003</v>
      </c>
      <c r="H23" s="2">
        <v>16</v>
      </c>
      <c r="I23" s="2">
        <v>118.5</v>
      </c>
      <c r="J23" s="2">
        <v>37.1</v>
      </c>
      <c r="K23" s="2">
        <v>48.3</v>
      </c>
      <c r="L23" s="2">
        <v>57.2</v>
      </c>
      <c r="M23" s="2">
        <v>0.71299999999999997</v>
      </c>
      <c r="N23" s="2">
        <v>0.30199999999999999</v>
      </c>
      <c r="O23" s="2">
        <v>70.900000000000006</v>
      </c>
      <c r="P23" s="2">
        <v>0.96199999999999997</v>
      </c>
      <c r="Q23" s="2">
        <v>1.3</v>
      </c>
      <c r="R23" s="2">
        <v>63.9</v>
      </c>
      <c r="S23" s="2">
        <v>31.6</v>
      </c>
      <c r="T23" s="25">
        <v>0.75700000000000001</v>
      </c>
      <c r="U23" s="2">
        <v>17.100000000000001</v>
      </c>
      <c r="V23" s="2">
        <v>35.700000000000003</v>
      </c>
      <c r="W23" s="2">
        <v>46.2</v>
      </c>
      <c r="X23" s="2">
        <v>5.3999999999999999E-2</v>
      </c>
      <c r="Y23" s="2">
        <v>50.6</v>
      </c>
      <c r="Z23" s="2">
        <v>0.1</v>
      </c>
      <c r="AA23" s="2">
        <v>0.188</v>
      </c>
      <c r="AB23" s="2">
        <v>0.16500000000000001</v>
      </c>
      <c r="AC23" s="2">
        <v>0.29499999999999998</v>
      </c>
      <c r="AD23" s="67">
        <v>0.625</v>
      </c>
      <c r="AE23" s="2">
        <v>24</v>
      </c>
      <c r="AF23" s="2">
        <v>9</v>
      </c>
      <c r="AG23" s="2">
        <v>53</v>
      </c>
    </row>
    <row r="24" spans="1:33" x14ac:dyDescent="0.45">
      <c r="A24" s="1" t="s">
        <v>19</v>
      </c>
      <c r="B24" s="2">
        <v>6</v>
      </c>
      <c r="C24" s="2">
        <v>1.0760000000000001</v>
      </c>
      <c r="D24" s="2">
        <v>1</v>
      </c>
      <c r="E24" s="2">
        <v>7.5999999999999998E-2</v>
      </c>
      <c r="F24" s="2">
        <v>47.4</v>
      </c>
      <c r="G24" s="2">
        <v>32.200000000000003</v>
      </c>
      <c r="H24" s="2">
        <v>20.399999999999999</v>
      </c>
      <c r="I24" s="2">
        <v>110.7</v>
      </c>
      <c r="J24" s="2">
        <v>34.1</v>
      </c>
      <c r="K24" s="2">
        <v>40.200000000000003</v>
      </c>
      <c r="L24" s="2">
        <v>51.1</v>
      </c>
      <c r="M24" s="2">
        <v>0.73799999999999999</v>
      </c>
      <c r="N24" s="2">
        <v>0.35599999999999998</v>
      </c>
      <c r="O24" s="2">
        <v>71.7</v>
      </c>
      <c r="P24" s="2">
        <v>0.97599999999999998</v>
      </c>
      <c r="Q24" s="2">
        <v>3.7</v>
      </c>
      <c r="R24" s="2">
        <v>57.3</v>
      </c>
      <c r="S24" s="2">
        <v>22.8</v>
      </c>
      <c r="T24" s="25">
        <v>0.72099999999999997</v>
      </c>
      <c r="U24" s="2">
        <v>12.4</v>
      </c>
      <c r="V24" s="2">
        <v>32.5</v>
      </c>
      <c r="W24" s="2">
        <v>43.5</v>
      </c>
      <c r="X24" s="2">
        <v>6.7000000000000004E-2</v>
      </c>
      <c r="Y24" s="2">
        <v>50.5</v>
      </c>
      <c r="Z24" s="2">
        <v>0.122</v>
      </c>
      <c r="AA24" s="2">
        <v>0.19500000000000001</v>
      </c>
      <c r="AB24" s="2">
        <v>0.19800000000000001</v>
      </c>
      <c r="AC24" s="2">
        <v>0.39400000000000002</v>
      </c>
      <c r="AD24" s="67">
        <v>0.58299999999999996</v>
      </c>
      <c r="AE24" s="2">
        <v>22</v>
      </c>
      <c r="AF24" s="2">
        <v>11</v>
      </c>
      <c r="AG24" s="2">
        <v>29</v>
      </c>
    </row>
    <row r="25" spans="1:33" s="15" customFormat="1" ht="14.65" thickBot="1" x14ac:dyDescent="0.5">
      <c r="A25" s="13" t="s">
        <v>57</v>
      </c>
      <c r="B25" s="41">
        <v>6</v>
      </c>
      <c r="C25" s="41">
        <v>1.125</v>
      </c>
      <c r="D25" s="41">
        <v>1.0009999999999999</v>
      </c>
      <c r="E25" s="41">
        <v>0.124</v>
      </c>
      <c r="F25" s="41">
        <v>46.2</v>
      </c>
      <c r="G25" s="41">
        <v>33.799999999999997</v>
      </c>
      <c r="H25" s="41">
        <v>20</v>
      </c>
      <c r="I25" s="41">
        <v>112.7</v>
      </c>
      <c r="J25" s="41">
        <v>31.1</v>
      </c>
      <c r="K25" s="41">
        <v>46.9</v>
      </c>
      <c r="L25" s="41">
        <v>52.3</v>
      </c>
      <c r="M25" s="41">
        <v>0.76200000000000001</v>
      </c>
      <c r="N25" s="41">
        <v>0.34599999999999997</v>
      </c>
      <c r="O25" s="41">
        <v>74.5</v>
      </c>
      <c r="P25" s="41">
        <v>1</v>
      </c>
      <c r="Q25" s="41">
        <v>0.5</v>
      </c>
      <c r="R25" s="41">
        <v>62.8</v>
      </c>
      <c r="S25" s="41">
        <v>35.299999999999997</v>
      </c>
      <c r="T25" s="61">
        <v>0.76900000000000002</v>
      </c>
      <c r="U25" s="41">
        <v>15.5</v>
      </c>
      <c r="V25" s="41">
        <v>33.6</v>
      </c>
      <c r="W25" s="41">
        <v>30.5</v>
      </c>
      <c r="X25" s="41">
        <v>6.4000000000000001E-2</v>
      </c>
      <c r="Y25" s="41">
        <v>47.3</v>
      </c>
      <c r="Z25" s="41">
        <v>5.8000000000000003E-2</v>
      </c>
      <c r="AA25" s="41">
        <v>0.17100000000000001</v>
      </c>
      <c r="AB25" s="41">
        <v>0.121</v>
      </c>
      <c r="AC25" s="41">
        <v>0.26800000000000002</v>
      </c>
      <c r="AD25" s="68">
        <v>0.5</v>
      </c>
      <c r="AE25" s="41">
        <v>21</v>
      </c>
      <c r="AF25" s="41">
        <v>12</v>
      </c>
      <c r="AG25" s="41">
        <v>11</v>
      </c>
    </row>
    <row r="26" spans="1:33" x14ac:dyDescent="0.45">
      <c r="A26" s="2" t="s">
        <v>3</v>
      </c>
      <c r="B26" s="2">
        <v>7</v>
      </c>
      <c r="C26" s="2">
        <v>1.103</v>
      </c>
      <c r="D26" s="2">
        <v>0.97</v>
      </c>
      <c r="E26" s="2">
        <v>0.13300000000000001</v>
      </c>
      <c r="F26" s="2">
        <v>52.1</v>
      </c>
      <c r="G26" s="2">
        <v>30</v>
      </c>
      <c r="H26" s="2">
        <v>17.8</v>
      </c>
      <c r="I26" s="2">
        <v>111.5</v>
      </c>
      <c r="J26" s="2">
        <v>35.200000000000003</v>
      </c>
      <c r="K26" s="2">
        <v>36</v>
      </c>
      <c r="L26" s="2">
        <v>53</v>
      </c>
      <c r="M26" s="2">
        <v>0.71</v>
      </c>
      <c r="N26" s="2">
        <v>0.32900000000000001</v>
      </c>
      <c r="O26" s="2">
        <v>67.7</v>
      </c>
      <c r="P26" s="2">
        <v>0.98499999999999999</v>
      </c>
      <c r="Q26" s="2">
        <v>6.1</v>
      </c>
      <c r="R26" s="2">
        <v>56.7</v>
      </c>
      <c r="S26" s="2">
        <v>32.1</v>
      </c>
      <c r="T26" s="25">
        <v>0.71799999999999997</v>
      </c>
      <c r="U26" s="2">
        <v>15.6</v>
      </c>
      <c r="V26" s="2">
        <v>32.799999999999997</v>
      </c>
      <c r="W26" s="2">
        <v>45</v>
      </c>
      <c r="X26" s="2">
        <v>6.0999999999999999E-2</v>
      </c>
      <c r="Y26" s="2">
        <v>50.5</v>
      </c>
      <c r="Z26" s="2">
        <v>0.12</v>
      </c>
      <c r="AA26" s="2">
        <v>0.191</v>
      </c>
      <c r="AB26" s="2">
        <v>0.224</v>
      </c>
      <c r="AC26" s="2">
        <v>0.34599999999999997</v>
      </c>
      <c r="AD26" s="67">
        <v>0.72699999999999998</v>
      </c>
      <c r="AE26" s="2">
        <v>22</v>
      </c>
      <c r="AF26" s="2">
        <v>10</v>
      </c>
      <c r="AG26" s="2">
        <v>50</v>
      </c>
    </row>
    <row r="27" spans="1:33" x14ac:dyDescent="0.45">
      <c r="A27" s="1" t="s">
        <v>22</v>
      </c>
      <c r="B27" s="2">
        <v>7</v>
      </c>
      <c r="C27" s="2">
        <v>1.0920000000000001</v>
      </c>
      <c r="D27" s="2">
        <v>0.97299999999999998</v>
      </c>
      <c r="E27" s="2">
        <v>0.11899999999999999</v>
      </c>
      <c r="F27" s="2">
        <v>47.8</v>
      </c>
      <c r="G27" s="2">
        <v>37</v>
      </c>
      <c r="H27" s="2">
        <v>15.2</v>
      </c>
      <c r="I27" s="2">
        <v>109.2</v>
      </c>
      <c r="J27" s="2">
        <v>32.5</v>
      </c>
      <c r="K27" s="2">
        <v>46.3</v>
      </c>
      <c r="L27" s="2">
        <v>52.1</v>
      </c>
      <c r="M27" s="2">
        <v>0.72</v>
      </c>
      <c r="N27" s="2">
        <v>0.26100000000000001</v>
      </c>
      <c r="O27" s="2">
        <v>70.400000000000006</v>
      </c>
      <c r="P27" s="2">
        <v>0.997</v>
      </c>
      <c r="Q27" s="2">
        <v>5.9</v>
      </c>
      <c r="R27" s="2">
        <v>59.9</v>
      </c>
      <c r="S27" s="2">
        <v>28.1</v>
      </c>
      <c r="T27" s="25">
        <v>0.71599999999999997</v>
      </c>
      <c r="U27" s="2">
        <v>13.2</v>
      </c>
      <c r="V27" s="2">
        <v>31.7</v>
      </c>
      <c r="W27" s="2">
        <v>39.4</v>
      </c>
      <c r="X27" s="2">
        <v>6.5000000000000002E-2</v>
      </c>
      <c r="Y27" s="2">
        <v>49.9</v>
      </c>
      <c r="Z27" s="2">
        <v>0.127</v>
      </c>
      <c r="AA27" s="2">
        <v>0.20899999999999999</v>
      </c>
      <c r="AB27" s="2">
        <v>0.20899999999999999</v>
      </c>
      <c r="AC27" s="2">
        <v>0.30199999999999999</v>
      </c>
      <c r="AD27" s="67">
        <v>0.66700000000000004</v>
      </c>
      <c r="AE27" s="2">
        <v>23</v>
      </c>
      <c r="AF27" s="2">
        <v>10</v>
      </c>
      <c r="AG27" s="2">
        <v>15</v>
      </c>
    </row>
    <row r="28" spans="1:33" x14ac:dyDescent="0.45">
      <c r="A28" s="1" t="s">
        <v>47</v>
      </c>
      <c r="B28" s="2">
        <v>7</v>
      </c>
      <c r="C28" s="2">
        <v>1.1180000000000001</v>
      </c>
      <c r="D28" s="2">
        <v>0.93500000000000005</v>
      </c>
      <c r="E28" s="2">
        <v>0.183</v>
      </c>
      <c r="F28" s="2">
        <v>56</v>
      </c>
      <c r="G28" s="2">
        <v>26.3</v>
      </c>
      <c r="H28" s="2">
        <v>17.7</v>
      </c>
      <c r="I28" s="2">
        <v>106.4</v>
      </c>
      <c r="J28" s="2">
        <v>32.700000000000003</v>
      </c>
      <c r="K28" s="2">
        <v>33.299999999999997</v>
      </c>
      <c r="L28" s="2">
        <v>50.9</v>
      </c>
      <c r="M28" s="2">
        <v>0.69499999999999995</v>
      </c>
      <c r="N28" s="2">
        <v>0.314</v>
      </c>
      <c r="O28" s="2">
        <v>65.599999999999994</v>
      </c>
      <c r="P28" s="2">
        <v>1.038</v>
      </c>
      <c r="Q28" s="2">
        <v>6.2</v>
      </c>
      <c r="R28" s="2">
        <v>55.3</v>
      </c>
      <c r="S28" s="2">
        <v>39.200000000000003</v>
      </c>
      <c r="T28" s="25">
        <v>0.77900000000000003</v>
      </c>
      <c r="U28" s="2">
        <v>14.8</v>
      </c>
      <c r="V28" s="2">
        <v>31.4</v>
      </c>
      <c r="W28" s="2">
        <v>31.8</v>
      </c>
      <c r="X28" s="2">
        <v>7.1999999999999995E-2</v>
      </c>
      <c r="Y28" s="2">
        <v>46.2</v>
      </c>
      <c r="Z28" s="2">
        <v>9.2999999999999999E-2</v>
      </c>
      <c r="AA28" s="2">
        <v>0.189</v>
      </c>
      <c r="AB28" s="2">
        <v>0.159</v>
      </c>
      <c r="AC28" s="2">
        <v>0.25</v>
      </c>
      <c r="AD28" s="67">
        <v>0.625</v>
      </c>
      <c r="AE28" s="2">
        <v>28</v>
      </c>
      <c r="AF28" s="2">
        <v>5</v>
      </c>
      <c r="AG28" s="2">
        <v>92</v>
      </c>
    </row>
    <row r="29" spans="1:33" s="15" customFormat="1" ht="14.65" thickBot="1" x14ac:dyDescent="0.5">
      <c r="A29" s="13" t="s">
        <v>35</v>
      </c>
      <c r="B29" s="41">
        <v>7</v>
      </c>
      <c r="C29" s="41">
        <v>1.0640000000000001</v>
      </c>
      <c r="D29" s="41">
        <v>0.96699999999999997</v>
      </c>
      <c r="E29" s="41">
        <v>9.7000000000000003E-2</v>
      </c>
      <c r="F29" s="41">
        <v>56.5</v>
      </c>
      <c r="G29" s="41">
        <v>29.3</v>
      </c>
      <c r="H29" s="41">
        <v>14.1</v>
      </c>
      <c r="I29" s="41">
        <v>110.8</v>
      </c>
      <c r="J29" s="41">
        <v>35.200000000000003</v>
      </c>
      <c r="K29" s="41">
        <v>34.299999999999997</v>
      </c>
      <c r="L29" s="41">
        <v>53.1</v>
      </c>
      <c r="M29" s="41">
        <v>0.71599999999999997</v>
      </c>
      <c r="N29" s="41">
        <v>0.24299999999999999</v>
      </c>
      <c r="O29" s="41">
        <v>71.599999999999994</v>
      </c>
      <c r="P29" s="41">
        <v>0.95899999999999996</v>
      </c>
      <c r="Q29" s="41">
        <v>-0.9</v>
      </c>
      <c r="R29" s="41">
        <v>58.3</v>
      </c>
      <c r="S29" s="41">
        <v>28</v>
      </c>
      <c r="T29" s="61">
        <v>0.745</v>
      </c>
      <c r="U29" s="41">
        <v>16.3</v>
      </c>
      <c r="V29" s="41">
        <v>30.8</v>
      </c>
      <c r="W29" s="41">
        <v>40.6</v>
      </c>
      <c r="X29" s="41">
        <v>7.6999999999999999E-2</v>
      </c>
      <c r="Y29" s="41">
        <v>46.2</v>
      </c>
      <c r="Z29" s="41">
        <v>8.6999999999999994E-2</v>
      </c>
      <c r="AA29" s="41">
        <v>0.18</v>
      </c>
      <c r="AB29" s="41">
        <v>0.152</v>
      </c>
      <c r="AC29" s="41">
        <v>0.28000000000000003</v>
      </c>
      <c r="AD29" s="68">
        <v>0.66700000000000004</v>
      </c>
      <c r="AE29" s="41">
        <v>21</v>
      </c>
      <c r="AF29" s="41">
        <v>12</v>
      </c>
      <c r="AG29" s="41">
        <v>4</v>
      </c>
    </row>
    <row r="30" spans="1:33" x14ac:dyDescent="0.45">
      <c r="A30" s="2" t="s">
        <v>70</v>
      </c>
      <c r="B30" s="2">
        <v>8</v>
      </c>
      <c r="C30" s="2">
        <v>1.1060000000000001</v>
      </c>
      <c r="D30" s="2">
        <v>1.028</v>
      </c>
      <c r="E30" s="2">
        <v>7.8E-2</v>
      </c>
      <c r="F30" s="2">
        <v>50.5</v>
      </c>
      <c r="G30" s="2">
        <v>32</v>
      </c>
      <c r="H30" s="2">
        <v>17.5</v>
      </c>
      <c r="I30" s="2">
        <v>109.6</v>
      </c>
      <c r="J30" s="2">
        <v>31.4</v>
      </c>
      <c r="K30" s="2">
        <v>42.3</v>
      </c>
      <c r="L30" s="2">
        <v>51.7</v>
      </c>
      <c r="M30" s="2">
        <v>0.70099999999999996</v>
      </c>
      <c r="N30" s="2">
        <v>0.316</v>
      </c>
      <c r="O30" s="2">
        <v>72.099999999999994</v>
      </c>
      <c r="P30" s="2">
        <v>1.008</v>
      </c>
      <c r="Q30" s="2">
        <v>4.9000000000000004</v>
      </c>
      <c r="R30" s="2">
        <v>60.8</v>
      </c>
      <c r="S30" s="2">
        <v>32.299999999999997</v>
      </c>
      <c r="T30" s="25">
        <v>0.72599999999999998</v>
      </c>
      <c r="U30" s="2">
        <v>14.7</v>
      </c>
      <c r="V30" s="2">
        <v>35.799999999999997</v>
      </c>
      <c r="W30" s="2">
        <v>44</v>
      </c>
      <c r="X30" s="2">
        <v>7.6999999999999999E-2</v>
      </c>
      <c r="Y30" s="2">
        <v>51.9</v>
      </c>
      <c r="Z30" s="2">
        <v>0.127</v>
      </c>
      <c r="AA30" s="2">
        <v>0.187</v>
      </c>
      <c r="AB30" s="2">
        <v>0.185</v>
      </c>
      <c r="AC30" s="2">
        <v>0.35399999999999998</v>
      </c>
      <c r="AD30" s="67">
        <v>0.6</v>
      </c>
      <c r="AE30" s="2">
        <v>21</v>
      </c>
      <c r="AF30" s="2">
        <v>12</v>
      </c>
      <c r="AG30" s="2">
        <v>16</v>
      </c>
    </row>
    <row r="31" spans="1:33" x14ac:dyDescent="0.45">
      <c r="A31" s="1" t="s">
        <v>15</v>
      </c>
      <c r="B31" s="2">
        <v>8</v>
      </c>
      <c r="C31" s="2">
        <v>1.1120000000000001</v>
      </c>
      <c r="D31" s="2">
        <v>0.97499999999999998</v>
      </c>
      <c r="E31" s="2">
        <v>0.13700000000000001</v>
      </c>
      <c r="F31" s="2">
        <v>45.1</v>
      </c>
      <c r="G31" s="2">
        <v>35.799999999999997</v>
      </c>
      <c r="H31" s="2">
        <v>19.100000000000001</v>
      </c>
      <c r="I31" s="2">
        <v>113.4</v>
      </c>
      <c r="J31" s="2">
        <v>33</v>
      </c>
      <c r="K31" s="2">
        <v>48.1</v>
      </c>
      <c r="L31" s="2">
        <v>53.4</v>
      </c>
      <c r="M31" s="2">
        <v>0.746</v>
      </c>
      <c r="N31" s="2">
        <v>0.34499999999999997</v>
      </c>
      <c r="O31" s="2">
        <v>70.7</v>
      </c>
      <c r="P31" s="2">
        <v>0.97699999999999998</v>
      </c>
      <c r="Q31" s="2">
        <v>2.9</v>
      </c>
      <c r="R31" s="2">
        <v>63</v>
      </c>
      <c r="S31" s="2">
        <v>31</v>
      </c>
      <c r="T31" s="25">
        <v>0.749</v>
      </c>
      <c r="U31" s="2">
        <v>16.2</v>
      </c>
      <c r="V31" s="2">
        <v>34.1</v>
      </c>
      <c r="W31" s="2">
        <v>39.799999999999997</v>
      </c>
      <c r="X31" s="2">
        <v>4.9000000000000002E-2</v>
      </c>
      <c r="Y31" s="2">
        <v>49.2</v>
      </c>
      <c r="Z31" s="2">
        <v>0.09</v>
      </c>
      <c r="AA31" s="2">
        <v>0.16700000000000001</v>
      </c>
      <c r="AB31" s="2">
        <v>0.18099999999999999</v>
      </c>
      <c r="AC31" s="2">
        <v>0.26800000000000002</v>
      </c>
      <c r="AD31" s="67">
        <v>0.85699999999999998</v>
      </c>
      <c r="AE31" s="2">
        <v>27</v>
      </c>
      <c r="AF31" s="2">
        <v>7</v>
      </c>
      <c r="AG31" s="2">
        <v>36</v>
      </c>
    </row>
    <row r="32" spans="1:33" x14ac:dyDescent="0.45">
      <c r="A32" s="1" t="s">
        <v>4</v>
      </c>
      <c r="B32" s="2">
        <v>8</v>
      </c>
      <c r="C32" s="2">
        <v>1.1499999999999999</v>
      </c>
      <c r="D32" s="2">
        <v>1.0109999999999999</v>
      </c>
      <c r="E32" s="2">
        <v>0.13900000000000001</v>
      </c>
      <c r="F32" s="2">
        <v>48.6</v>
      </c>
      <c r="G32" s="2">
        <v>33.299999999999997</v>
      </c>
      <c r="H32" s="2">
        <v>18.100000000000001</v>
      </c>
      <c r="I32" s="2">
        <v>117.1</v>
      </c>
      <c r="J32" s="2">
        <v>35.4</v>
      </c>
      <c r="K32" s="2">
        <v>42.6</v>
      </c>
      <c r="L32" s="2">
        <v>55.5</v>
      </c>
      <c r="M32" s="2">
        <v>0.79100000000000004</v>
      </c>
      <c r="N32" s="2">
        <v>0.30599999999999999</v>
      </c>
      <c r="O32" s="2">
        <v>67.3</v>
      </c>
      <c r="P32" s="2">
        <v>0.98199999999999998</v>
      </c>
      <c r="Q32" s="2">
        <v>1.8</v>
      </c>
      <c r="R32" s="2">
        <v>62.3</v>
      </c>
      <c r="S32" s="2">
        <v>34.6</v>
      </c>
      <c r="T32" s="25">
        <v>0.76200000000000001</v>
      </c>
      <c r="U32" s="2">
        <v>16.7</v>
      </c>
      <c r="V32" s="2">
        <v>35</v>
      </c>
      <c r="W32" s="2">
        <v>34.200000000000003</v>
      </c>
      <c r="X32" s="2">
        <v>0.115</v>
      </c>
      <c r="Y32" s="2">
        <v>48.3</v>
      </c>
      <c r="Z32" s="2">
        <v>8.1000000000000003E-2</v>
      </c>
      <c r="AA32" s="2">
        <v>0.14899999999999999</v>
      </c>
      <c r="AB32" s="2">
        <v>0.153</v>
      </c>
      <c r="AC32" s="2">
        <v>0.4</v>
      </c>
      <c r="AD32" s="67">
        <v>0.5</v>
      </c>
      <c r="AE32" s="2">
        <v>23</v>
      </c>
      <c r="AF32" s="2">
        <v>10</v>
      </c>
      <c r="AG32" s="2">
        <v>42</v>
      </c>
    </row>
    <row r="33" spans="1:33" s="15" customFormat="1" ht="14.65" thickBot="1" x14ac:dyDescent="0.5">
      <c r="A33" s="13" t="s">
        <v>52</v>
      </c>
      <c r="B33" s="41">
        <v>8</v>
      </c>
      <c r="C33" s="41">
        <v>1.181</v>
      </c>
      <c r="D33" s="41">
        <v>0.95</v>
      </c>
      <c r="E33" s="41">
        <v>0.23100000000000001</v>
      </c>
      <c r="F33" s="41">
        <v>55.9</v>
      </c>
      <c r="G33" s="41">
        <v>26.1</v>
      </c>
      <c r="H33" s="41">
        <v>18</v>
      </c>
      <c r="I33" s="41">
        <v>119.3</v>
      </c>
      <c r="J33" s="41">
        <v>34.4</v>
      </c>
      <c r="K33" s="41">
        <v>33.5</v>
      </c>
      <c r="L33" s="41">
        <v>55.7</v>
      </c>
      <c r="M33" s="41">
        <v>0.80400000000000005</v>
      </c>
      <c r="N33" s="41">
        <v>0.309</v>
      </c>
      <c r="O33" s="41">
        <v>73.3</v>
      </c>
      <c r="P33" s="41">
        <v>0.995</v>
      </c>
      <c r="Q33" s="41">
        <v>4.5999999999999996</v>
      </c>
      <c r="R33" s="41">
        <v>62.7</v>
      </c>
      <c r="S33" s="41">
        <v>30.4</v>
      </c>
      <c r="T33" s="61">
        <v>0.76400000000000001</v>
      </c>
      <c r="U33" s="41">
        <v>12.9</v>
      </c>
      <c r="V33" s="41">
        <v>30.3</v>
      </c>
      <c r="W33" s="41">
        <v>40.200000000000003</v>
      </c>
      <c r="X33" s="41">
        <v>4.9000000000000002E-2</v>
      </c>
      <c r="Y33" s="41">
        <v>47.6</v>
      </c>
      <c r="Z33" s="41">
        <v>0.10199999999999999</v>
      </c>
      <c r="AA33" s="41">
        <v>0.16800000000000001</v>
      </c>
      <c r="AB33" s="41">
        <v>0.17499999999999999</v>
      </c>
      <c r="AC33" s="41">
        <v>0.28599999999999998</v>
      </c>
      <c r="AD33" s="68">
        <v>0</v>
      </c>
      <c r="AE33" s="41">
        <v>25</v>
      </c>
      <c r="AF33" s="41">
        <v>8</v>
      </c>
      <c r="AG33" s="41">
        <v>82</v>
      </c>
    </row>
    <row r="34" spans="1:33" x14ac:dyDescent="0.45">
      <c r="A34" s="2" t="s">
        <v>40</v>
      </c>
      <c r="B34" s="2">
        <v>9</v>
      </c>
      <c r="C34" s="2">
        <v>1.107</v>
      </c>
      <c r="D34" s="2">
        <v>1.0209999999999999</v>
      </c>
      <c r="E34" s="2">
        <v>8.5999999999999993E-2</v>
      </c>
      <c r="F34" s="2">
        <v>48.8</v>
      </c>
      <c r="G34" s="2">
        <v>33</v>
      </c>
      <c r="H34" s="2">
        <v>18.2</v>
      </c>
      <c r="I34" s="2">
        <v>109.3</v>
      </c>
      <c r="J34" s="2">
        <v>34.700000000000003</v>
      </c>
      <c r="K34" s="2">
        <v>40.200000000000003</v>
      </c>
      <c r="L34" s="2">
        <v>51.5</v>
      </c>
      <c r="M34" s="2">
        <v>0.748</v>
      </c>
      <c r="N34" s="2">
        <v>0.31</v>
      </c>
      <c r="O34" s="2">
        <v>68.2</v>
      </c>
      <c r="P34" s="2">
        <v>1.0049999999999999</v>
      </c>
      <c r="Q34" s="2">
        <v>3.9</v>
      </c>
      <c r="R34" s="2">
        <v>57</v>
      </c>
      <c r="S34" s="2">
        <v>33.5</v>
      </c>
      <c r="T34" s="25">
        <v>0.70599999999999996</v>
      </c>
      <c r="U34" s="2">
        <v>15.8</v>
      </c>
      <c r="V34" s="2">
        <v>35.9</v>
      </c>
      <c r="W34" s="2">
        <v>41.4</v>
      </c>
      <c r="X34" s="2">
        <v>4.8000000000000001E-2</v>
      </c>
      <c r="Y34" s="2">
        <v>51.2</v>
      </c>
      <c r="Z34" s="2">
        <v>0.108</v>
      </c>
      <c r="AA34" s="2">
        <v>0.215</v>
      </c>
      <c r="AB34" s="2">
        <v>0.182</v>
      </c>
      <c r="AC34" s="2">
        <v>0.33500000000000002</v>
      </c>
      <c r="AD34" s="67">
        <v>0.36399999999999999</v>
      </c>
      <c r="AE34" s="2">
        <v>19</v>
      </c>
      <c r="AF34" s="2">
        <v>14</v>
      </c>
      <c r="AG34" s="2">
        <v>14</v>
      </c>
    </row>
    <row r="35" spans="1:33" x14ac:dyDescent="0.45">
      <c r="A35" s="1" t="s">
        <v>27</v>
      </c>
      <c r="B35" s="2">
        <v>9</v>
      </c>
      <c r="C35" s="2">
        <v>1.105</v>
      </c>
      <c r="D35" s="2">
        <v>1.0489999999999999</v>
      </c>
      <c r="E35" s="2">
        <v>5.6000000000000001E-2</v>
      </c>
      <c r="F35" s="2">
        <v>44.9</v>
      </c>
      <c r="G35" s="2">
        <v>32.5</v>
      </c>
      <c r="H35" s="2">
        <v>22.6</v>
      </c>
      <c r="I35" s="2">
        <v>118.1</v>
      </c>
      <c r="J35" s="2">
        <v>37</v>
      </c>
      <c r="K35" s="2">
        <v>41.9</v>
      </c>
      <c r="L35" s="2">
        <v>54.9</v>
      </c>
      <c r="M35" s="2">
        <v>0.79500000000000004</v>
      </c>
      <c r="N35" s="2">
        <v>0.39600000000000002</v>
      </c>
      <c r="O35" s="2">
        <v>71.400000000000006</v>
      </c>
      <c r="P35" s="2">
        <v>0.93200000000000005</v>
      </c>
      <c r="Q35" s="2">
        <v>-1.7</v>
      </c>
      <c r="R35" s="2">
        <v>60.4</v>
      </c>
      <c r="S35" s="2">
        <v>25.1</v>
      </c>
      <c r="T35" s="25">
        <v>0.69699999999999995</v>
      </c>
      <c r="U35" s="2">
        <v>16.899999999999999</v>
      </c>
      <c r="V35" s="2">
        <v>30.3</v>
      </c>
      <c r="W35" s="2">
        <v>42</v>
      </c>
      <c r="X35" s="2">
        <v>3.9E-2</v>
      </c>
      <c r="Y35" s="2">
        <v>51.1</v>
      </c>
      <c r="Z35" s="2">
        <v>0.109</v>
      </c>
      <c r="AA35" s="2">
        <v>0.17199999999999999</v>
      </c>
      <c r="AB35" s="2">
        <v>0.17799999999999999</v>
      </c>
      <c r="AC35" s="2">
        <v>0.35799999999999998</v>
      </c>
      <c r="AD35" s="67">
        <v>0.5</v>
      </c>
      <c r="AE35" s="2">
        <v>20</v>
      </c>
      <c r="AF35" s="2">
        <v>13</v>
      </c>
      <c r="AG35" s="2">
        <v>48</v>
      </c>
    </row>
    <row r="36" spans="1:33" x14ac:dyDescent="0.45">
      <c r="A36" s="1" t="s">
        <v>53</v>
      </c>
      <c r="B36" s="2">
        <v>9</v>
      </c>
      <c r="C36" s="2">
        <v>1.073</v>
      </c>
      <c r="D36" s="2">
        <v>0.98399999999999999</v>
      </c>
      <c r="E36" s="2">
        <v>8.8999999999999996E-2</v>
      </c>
      <c r="F36" s="2">
        <v>50.8</v>
      </c>
      <c r="G36" s="2">
        <v>27.5</v>
      </c>
      <c r="H36" s="2">
        <v>21.6</v>
      </c>
      <c r="I36" s="2">
        <v>111.7</v>
      </c>
      <c r="J36" s="2">
        <v>33.5</v>
      </c>
      <c r="K36" s="2">
        <v>36.799999999999997</v>
      </c>
      <c r="L36" s="2">
        <v>52.5</v>
      </c>
      <c r="M36" s="2">
        <v>0.71699999999999997</v>
      </c>
      <c r="N36" s="2">
        <v>0.39800000000000002</v>
      </c>
      <c r="O36" s="2">
        <v>70.400000000000006</v>
      </c>
      <c r="P36" s="2">
        <v>0.95599999999999996</v>
      </c>
      <c r="Q36" s="2">
        <v>-0.5</v>
      </c>
      <c r="R36" s="2">
        <v>59.1</v>
      </c>
      <c r="S36" s="2">
        <v>34.1</v>
      </c>
      <c r="T36" s="25">
        <v>0.70299999999999996</v>
      </c>
      <c r="U36" s="2">
        <v>18.399999999999999</v>
      </c>
      <c r="V36" s="2">
        <v>31.6</v>
      </c>
      <c r="W36" s="2">
        <v>40.4</v>
      </c>
      <c r="X36" s="2">
        <v>8.5999999999999993E-2</v>
      </c>
      <c r="Y36" s="2">
        <v>47.2</v>
      </c>
      <c r="Z36" s="2">
        <v>0.11</v>
      </c>
      <c r="AA36" s="2">
        <v>0.17299999999999999</v>
      </c>
      <c r="AB36" s="2">
        <v>0.17499999999999999</v>
      </c>
      <c r="AC36" s="2">
        <v>0.30399999999999999</v>
      </c>
      <c r="AD36" s="67">
        <v>0.57099999999999995</v>
      </c>
      <c r="AE36" s="2">
        <v>20</v>
      </c>
      <c r="AF36" s="2">
        <v>12</v>
      </c>
      <c r="AG36" s="2">
        <v>57</v>
      </c>
    </row>
    <row r="37" spans="1:33" s="15" customFormat="1" ht="14.65" thickBot="1" x14ac:dyDescent="0.5">
      <c r="A37" s="13" t="s">
        <v>16</v>
      </c>
      <c r="B37" s="41">
        <v>9</v>
      </c>
      <c r="C37" s="41">
        <v>1.0820000000000001</v>
      </c>
      <c r="D37" s="41">
        <v>1</v>
      </c>
      <c r="E37" s="41">
        <v>8.2000000000000003E-2</v>
      </c>
      <c r="F37" s="41">
        <v>46.4</v>
      </c>
      <c r="G37" s="41">
        <v>38</v>
      </c>
      <c r="H37" s="41">
        <v>15.6</v>
      </c>
      <c r="I37" s="41">
        <v>117.2</v>
      </c>
      <c r="J37" s="41">
        <v>33.9</v>
      </c>
      <c r="K37" s="41">
        <v>49</v>
      </c>
      <c r="L37" s="41">
        <v>55.8</v>
      </c>
      <c r="M37" s="41">
        <v>0.72799999999999998</v>
      </c>
      <c r="N37" s="41">
        <v>0.28499999999999998</v>
      </c>
      <c r="O37" s="41">
        <v>69.5</v>
      </c>
      <c r="P37" s="41">
        <v>0.92900000000000005</v>
      </c>
      <c r="Q37" s="41">
        <v>-6.2</v>
      </c>
      <c r="R37" s="41">
        <v>67.8</v>
      </c>
      <c r="S37" s="41">
        <v>25.4</v>
      </c>
      <c r="T37" s="61">
        <v>0.746</v>
      </c>
      <c r="U37" s="41">
        <v>17.7</v>
      </c>
      <c r="V37" s="41">
        <v>32.6</v>
      </c>
      <c r="W37" s="41">
        <v>35.299999999999997</v>
      </c>
      <c r="X37" s="41">
        <v>6.8000000000000005E-2</v>
      </c>
      <c r="Y37" s="41">
        <v>47</v>
      </c>
      <c r="Z37" s="41">
        <v>5.1999999999999998E-2</v>
      </c>
      <c r="AA37" s="41">
        <v>0.16700000000000001</v>
      </c>
      <c r="AB37" s="41">
        <v>0.114</v>
      </c>
      <c r="AC37" s="41">
        <v>0.16900000000000001</v>
      </c>
      <c r="AD37" s="68">
        <v>0.75</v>
      </c>
      <c r="AE37" s="41">
        <v>24</v>
      </c>
      <c r="AF37" s="41">
        <v>10</v>
      </c>
      <c r="AG37" s="41">
        <v>22</v>
      </c>
    </row>
    <row r="38" spans="1:33" x14ac:dyDescent="0.45">
      <c r="A38" s="2" t="s">
        <v>48</v>
      </c>
      <c r="B38" s="2">
        <v>10</v>
      </c>
      <c r="C38" s="2">
        <v>1.1040000000000001</v>
      </c>
      <c r="D38" s="2">
        <v>1.0369999999999999</v>
      </c>
      <c r="E38" s="2">
        <v>6.7000000000000004E-2</v>
      </c>
      <c r="F38" s="2">
        <v>49.8</v>
      </c>
      <c r="G38" s="2">
        <v>30.8</v>
      </c>
      <c r="H38" s="2">
        <v>19.399999999999999</v>
      </c>
      <c r="I38" s="2">
        <v>110.5</v>
      </c>
      <c r="J38" s="2">
        <v>32.5</v>
      </c>
      <c r="K38" s="2">
        <v>40.200000000000003</v>
      </c>
      <c r="L38" s="2">
        <v>51.7</v>
      </c>
      <c r="M38" s="2">
        <v>0.746</v>
      </c>
      <c r="N38" s="2">
        <v>0.34</v>
      </c>
      <c r="O38" s="2">
        <v>72.099999999999994</v>
      </c>
      <c r="P38" s="2">
        <v>0.99299999999999999</v>
      </c>
      <c r="Q38" s="2">
        <v>5.2</v>
      </c>
      <c r="R38" s="2">
        <v>60.5</v>
      </c>
      <c r="S38" s="2">
        <v>29.7</v>
      </c>
      <c r="T38" s="25">
        <v>0.72299999999999998</v>
      </c>
      <c r="U38" s="2">
        <v>14.4</v>
      </c>
      <c r="V38" s="2">
        <v>36.6</v>
      </c>
      <c r="W38" s="2">
        <v>37.700000000000003</v>
      </c>
      <c r="X38" s="2">
        <v>7.0000000000000007E-2</v>
      </c>
      <c r="Y38" s="2">
        <v>52.9</v>
      </c>
      <c r="Z38" s="2">
        <v>0.125</v>
      </c>
      <c r="AA38" s="2">
        <v>0.16800000000000001</v>
      </c>
      <c r="AB38" s="2">
        <v>0.19400000000000001</v>
      </c>
      <c r="AC38" s="2">
        <v>0.39</v>
      </c>
      <c r="AD38" s="67">
        <v>0.875</v>
      </c>
      <c r="AE38" s="2">
        <v>20</v>
      </c>
      <c r="AF38" s="2">
        <v>12</v>
      </c>
      <c r="AG38" s="2">
        <v>58</v>
      </c>
    </row>
    <row r="39" spans="1:33" x14ac:dyDescent="0.45">
      <c r="A39" s="1" t="s">
        <v>60</v>
      </c>
      <c r="B39" s="2">
        <v>10</v>
      </c>
      <c r="C39" s="2">
        <v>1.1519999999999999</v>
      </c>
      <c r="D39" s="2">
        <v>1.018</v>
      </c>
      <c r="E39" s="2">
        <v>0.13400000000000001</v>
      </c>
      <c r="F39" s="2">
        <v>48.3</v>
      </c>
      <c r="G39" s="2">
        <v>32.700000000000003</v>
      </c>
      <c r="H39" s="2">
        <v>19</v>
      </c>
      <c r="I39" s="2">
        <v>116.1</v>
      </c>
      <c r="J39" s="2">
        <v>35.799999999999997</v>
      </c>
      <c r="K39" s="2">
        <v>42.3</v>
      </c>
      <c r="L39" s="2">
        <v>56</v>
      </c>
      <c r="M39" s="2">
        <v>0.70199999999999996</v>
      </c>
      <c r="N39" s="2">
        <v>0.376</v>
      </c>
      <c r="O39" s="2">
        <v>69.2</v>
      </c>
      <c r="P39" s="2">
        <v>0.98399999999999999</v>
      </c>
      <c r="Q39" s="2">
        <v>4.3</v>
      </c>
      <c r="R39" s="2">
        <v>63.8</v>
      </c>
      <c r="S39" s="2">
        <v>32.1</v>
      </c>
      <c r="T39" s="25">
        <v>0.72699999999999998</v>
      </c>
      <c r="U39" s="2">
        <v>15.5</v>
      </c>
      <c r="V39" s="2">
        <v>34</v>
      </c>
      <c r="W39" s="2">
        <v>44.4</v>
      </c>
      <c r="X39" s="2">
        <v>5.1999999999999998E-2</v>
      </c>
      <c r="Y39" s="2">
        <v>51.8</v>
      </c>
      <c r="Z39" s="2">
        <v>0.121</v>
      </c>
      <c r="AA39" s="2">
        <v>0.20699999999999999</v>
      </c>
      <c r="AB39" s="2">
        <v>0.19500000000000001</v>
      </c>
      <c r="AC39" s="2">
        <v>0.36199999999999999</v>
      </c>
      <c r="AD39" s="67">
        <v>0.72699999999999998</v>
      </c>
      <c r="AE39" s="2">
        <v>26</v>
      </c>
      <c r="AF39" s="2">
        <v>7</v>
      </c>
      <c r="AG39" s="2">
        <v>91</v>
      </c>
    </row>
    <row r="40" spans="1:33" x14ac:dyDescent="0.45">
      <c r="A40" s="1" t="s">
        <v>23</v>
      </c>
      <c r="B40" s="2">
        <v>10</v>
      </c>
      <c r="C40" s="2">
        <v>1.0589999999999999</v>
      </c>
      <c r="D40" s="2">
        <v>0.93700000000000006</v>
      </c>
      <c r="E40" s="2">
        <v>0.122</v>
      </c>
      <c r="F40" s="2">
        <v>54.4</v>
      </c>
      <c r="G40" s="2">
        <v>25.5</v>
      </c>
      <c r="H40" s="2">
        <v>20.100000000000001</v>
      </c>
      <c r="I40" s="2">
        <v>108.1</v>
      </c>
      <c r="J40" s="2">
        <v>34.1</v>
      </c>
      <c r="K40" s="2">
        <v>32.200000000000003</v>
      </c>
      <c r="L40" s="2">
        <v>50.8</v>
      </c>
      <c r="M40" s="2">
        <v>0.67700000000000005</v>
      </c>
      <c r="N40" s="2">
        <v>0.378</v>
      </c>
      <c r="O40" s="2">
        <v>75.5</v>
      </c>
      <c r="P40" s="2">
        <v>0.97799999999999998</v>
      </c>
      <c r="Q40" s="2">
        <v>5.7</v>
      </c>
      <c r="R40" s="2">
        <v>56.1</v>
      </c>
      <c r="S40" s="2">
        <v>28.9</v>
      </c>
      <c r="T40" s="25">
        <v>0.77200000000000002</v>
      </c>
      <c r="U40" s="2">
        <v>15.1</v>
      </c>
      <c r="V40" s="2">
        <v>33.799999999999997</v>
      </c>
      <c r="W40" s="2">
        <v>38.299999999999997</v>
      </c>
      <c r="X40" s="2">
        <v>8.5999999999999993E-2</v>
      </c>
      <c r="Y40" s="2">
        <v>49.2</v>
      </c>
      <c r="Z40" s="2">
        <v>0.113</v>
      </c>
      <c r="AA40" s="2">
        <v>0.19600000000000001</v>
      </c>
      <c r="AB40" s="2">
        <v>0.19700000000000001</v>
      </c>
      <c r="AC40" s="2">
        <v>0.35</v>
      </c>
      <c r="AD40" s="67">
        <v>0.625</v>
      </c>
      <c r="AE40" s="2">
        <v>26</v>
      </c>
      <c r="AF40" s="2">
        <v>7</v>
      </c>
      <c r="AG40" s="2">
        <v>87</v>
      </c>
    </row>
    <row r="41" spans="1:33" s="15" customFormat="1" ht="14.65" thickBot="1" x14ac:dyDescent="0.5">
      <c r="A41" s="13" t="s">
        <v>36</v>
      </c>
      <c r="B41" s="41">
        <v>10</v>
      </c>
      <c r="C41" s="41">
        <v>1.06</v>
      </c>
      <c r="D41" s="41">
        <v>0.98399999999999999</v>
      </c>
      <c r="E41" s="41">
        <v>7.5999999999999998E-2</v>
      </c>
      <c r="F41" s="41">
        <v>52.4</v>
      </c>
      <c r="G41" s="41">
        <v>27.5</v>
      </c>
      <c r="H41" s="41">
        <v>20.100000000000001</v>
      </c>
      <c r="I41" s="41">
        <v>111.8</v>
      </c>
      <c r="J41" s="41">
        <v>33.299999999999997</v>
      </c>
      <c r="K41" s="41">
        <v>36.700000000000003</v>
      </c>
      <c r="L41" s="41">
        <v>52.7</v>
      </c>
      <c r="M41" s="41">
        <v>0.73899999999999999</v>
      </c>
      <c r="N41" s="41">
        <v>0.35499999999999998</v>
      </c>
      <c r="O41" s="41">
        <v>72.3</v>
      </c>
      <c r="P41" s="41">
        <v>0.95</v>
      </c>
      <c r="Q41" s="41">
        <v>-1</v>
      </c>
      <c r="R41" s="41">
        <v>58.3</v>
      </c>
      <c r="S41" s="41">
        <v>25</v>
      </c>
      <c r="T41" s="61">
        <v>0.72</v>
      </c>
      <c r="U41" s="41">
        <v>16.100000000000001</v>
      </c>
      <c r="V41" s="41">
        <v>31.4</v>
      </c>
      <c r="W41" s="41">
        <v>38.9</v>
      </c>
      <c r="X41" s="41">
        <v>9.0999999999999998E-2</v>
      </c>
      <c r="Y41" s="41">
        <v>48.3</v>
      </c>
      <c r="Z41" s="41">
        <v>0.104</v>
      </c>
      <c r="AA41" s="41">
        <v>0.16900000000000001</v>
      </c>
      <c r="AB41" s="41">
        <v>0.16800000000000001</v>
      </c>
      <c r="AC41" s="41">
        <v>0.29399999999999998</v>
      </c>
      <c r="AD41" s="68">
        <v>0.54600000000000004</v>
      </c>
      <c r="AE41" s="41">
        <v>20</v>
      </c>
      <c r="AF41" s="41">
        <v>13</v>
      </c>
      <c r="AG41" s="41">
        <v>43</v>
      </c>
    </row>
    <row r="42" spans="1:33" x14ac:dyDescent="0.45">
      <c r="A42" s="2" t="s">
        <v>33</v>
      </c>
      <c r="B42" s="2">
        <v>11</v>
      </c>
      <c r="C42" s="2">
        <v>1.1100000000000001</v>
      </c>
      <c r="D42" s="2">
        <v>0.96499999999999997</v>
      </c>
      <c r="E42" s="2">
        <v>0.14499999999999999</v>
      </c>
      <c r="F42" s="2">
        <v>50.2</v>
      </c>
      <c r="G42" s="2">
        <v>28.1</v>
      </c>
      <c r="H42" s="2">
        <v>21.7</v>
      </c>
      <c r="I42" s="2">
        <v>114.4</v>
      </c>
      <c r="J42" s="2">
        <v>35</v>
      </c>
      <c r="K42" s="2">
        <v>36.799999999999997</v>
      </c>
      <c r="L42" s="2">
        <v>53.8</v>
      </c>
      <c r="M42" s="2">
        <v>0.7</v>
      </c>
      <c r="N42" s="2">
        <v>0.43</v>
      </c>
      <c r="O42" s="2">
        <v>61.9</v>
      </c>
      <c r="P42" s="2">
        <v>0.96499999999999997</v>
      </c>
      <c r="Q42" s="2">
        <v>5.3</v>
      </c>
      <c r="R42" s="2">
        <v>58.5</v>
      </c>
      <c r="S42" s="2">
        <v>35.9</v>
      </c>
      <c r="T42" s="25">
        <v>0.76900000000000002</v>
      </c>
      <c r="U42" s="2">
        <v>18.2</v>
      </c>
      <c r="V42" s="2">
        <v>31.2</v>
      </c>
      <c r="W42" s="2">
        <v>38.6</v>
      </c>
      <c r="X42" s="2">
        <v>5.1999999999999998E-2</v>
      </c>
      <c r="Y42" s="2">
        <v>51.7</v>
      </c>
      <c r="Z42" s="2">
        <v>0.14099999999999999</v>
      </c>
      <c r="AA42" s="2">
        <v>0.16400000000000001</v>
      </c>
      <c r="AB42" s="2">
        <v>0.214</v>
      </c>
      <c r="AC42" s="2">
        <v>0.35799999999999998</v>
      </c>
      <c r="AD42" s="67">
        <v>0.71399999999999997</v>
      </c>
      <c r="AE42" s="2">
        <v>30</v>
      </c>
      <c r="AF42" s="2">
        <v>3</v>
      </c>
      <c r="AG42" s="2">
        <v>142</v>
      </c>
    </row>
    <row r="43" spans="1:33" x14ac:dyDescent="0.45">
      <c r="A43" s="1" t="s">
        <v>73</v>
      </c>
      <c r="B43" s="2">
        <v>11</v>
      </c>
      <c r="C43" s="2">
        <v>1.093</v>
      </c>
      <c r="D43" s="2">
        <v>1.002</v>
      </c>
      <c r="E43" s="2">
        <v>9.0999999999999998E-2</v>
      </c>
      <c r="F43" s="2">
        <v>46.7</v>
      </c>
      <c r="G43" s="2">
        <v>32.200000000000003</v>
      </c>
      <c r="H43" s="2">
        <v>21.1</v>
      </c>
      <c r="I43" s="2">
        <v>116.7</v>
      </c>
      <c r="J43" s="2">
        <v>39.1</v>
      </c>
      <c r="K43" s="2">
        <v>37.6</v>
      </c>
      <c r="L43" s="2">
        <v>54.1</v>
      </c>
      <c r="M43" s="2">
        <v>0.78900000000000003</v>
      </c>
      <c r="N43" s="2">
        <v>0.36699999999999999</v>
      </c>
      <c r="O43" s="2">
        <v>71.400000000000006</v>
      </c>
      <c r="P43" s="2">
        <v>0.93100000000000005</v>
      </c>
      <c r="Q43" s="2">
        <v>-0.1</v>
      </c>
      <c r="R43" s="2">
        <v>57.7</v>
      </c>
      <c r="S43" s="2">
        <v>20.9</v>
      </c>
      <c r="T43" s="25">
        <v>0.76400000000000001</v>
      </c>
      <c r="U43" s="2">
        <v>15.3</v>
      </c>
      <c r="V43" s="2">
        <v>34.4</v>
      </c>
      <c r="W43" s="2">
        <v>37.4</v>
      </c>
      <c r="X43" s="2">
        <v>4.2999999999999997E-2</v>
      </c>
      <c r="Y43" s="2">
        <v>51</v>
      </c>
      <c r="Z43" s="2">
        <v>0.108</v>
      </c>
      <c r="AA43" s="2">
        <v>0.20100000000000001</v>
      </c>
      <c r="AB43" s="2">
        <v>0.17199999999999999</v>
      </c>
      <c r="AC43" s="2">
        <v>0.28599999999999998</v>
      </c>
      <c r="AD43" s="67">
        <v>0.44400000000000001</v>
      </c>
      <c r="AE43" s="2">
        <v>22</v>
      </c>
      <c r="AF43" s="2">
        <v>12</v>
      </c>
      <c r="AG43" s="2">
        <v>49</v>
      </c>
    </row>
    <row r="44" spans="1:33" x14ac:dyDescent="0.45">
      <c r="A44" s="1" t="s">
        <v>91</v>
      </c>
      <c r="B44" s="2">
        <v>11</v>
      </c>
      <c r="C44" s="2">
        <v>1.107</v>
      </c>
      <c r="D44" s="2">
        <v>1.024</v>
      </c>
      <c r="E44" s="2">
        <v>8.3000000000000004E-2</v>
      </c>
      <c r="F44" s="2">
        <v>51.2</v>
      </c>
      <c r="G44" s="2">
        <v>29.6</v>
      </c>
      <c r="H44" s="2">
        <v>19.2</v>
      </c>
      <c r="I44" s="2">
        <v>115</v>
      </c>
      <c r="J44" s="2">
        <v>35.6</v>
      </c>
      <c r="K44" s="2">
        <v>37.200000000000003</v>
      </c>
      <c r="L44" s="2">
        <v>54.1</v>
      </c>
      <c r="M44" s="2">
        <v>0.74099999999999999</v>
      </c>
      <c r="N44" s="2">
        <v>0.34799999999999998</v>
      </c>
      <c r="O44" s="2">
        <v>73</v>
      </c>
      <c r="P44" s="2">
        <v>0.96</v>
      </c>
      <c r="Q44" s="2">
        <v>-0.5</v>
      </c>
      <c r="R44" s="2">
        <v>60.9</v>
      </c>
      <c r="S44" s="2">
        <v>25.5</v>
      </c>
      <c r="T44" s="25">
        <v>0.751</v>
      </c>
      <c r="U44" s="2">
        <v>14.7</v>
      </c>
      <c r="V44" s="2">
        <v>33.5</v>
      </c>
      <c r="W44" s="2">
        <v>38.1</v>
      </c>
      <c r="X44" s="2">
        <v>5.8999999999999997E-2</v>
      </c>
      <c r="Y44" s="2">
        <v>49.5</v>
      </c>
      <c r="Z44" s="2">
        <v>8.2000000000000003E-2</v>
      </c>
      <c r="AA44" s="2">
        <v>0.17299999999999999</v>
      </c>
      <c r="AB44" s="2">
        <v>0.14899999999999999</v>
      </c>
      <c r="AC44" s="2">
        <v>0.30499999999999999</v>
      </c>
      <c r="AD44" s="67">
        <v>0.54600000000000004</v>
      </c>
      <c r="AE44" s="2">
        <v>23</v>
      </c>
      <c r="AF44" s="2">
        <v>14</v>
      </c>
      <c r="AG44" s="2">
        <v>24</v>
      </c>
    </row>
    <row r="45" spans="1:33" s="15" customFormat="1" ht="14.65" thickBot="1" x14ac:dyDescent="0.5">
      <c r="A45" s="13" t="s">
        <v>5</v>
      </c>
      <c r="B45" s="41">
        <v>11</v>
      </c>
      <c r="C45" s="41">
        <v>1.117</v>
      </c>
      <c r="D45" s="41">
        <v>0.91400000000000003</v>
      </c>
      <c r="E45" s="41">
        <v>0.20300000000000001</v>
      </c>
      <c r="F45" s="41">
        <v>43.9</v>
      </c>
      <c r="G45" s="41">
        <v>37.799999999999997</v>
      </c>
      <c r="H45" s="41">
        <v>18.3</v>
      </c>
      <c r="I45" s="41">
        <v>111.5</v>
      </c>
      <c r="J45" s="41">
        <v>33.5</v>
      </c>
      <c r="K45" s="41">
        <v>47.4</v>
      </c>
      <c r="L45" s="41">
        <v>52.4</v>
      </c>
      <c r="M45" s="41">
        <v>0.74399999999999999</v>
      </c>
      <c r="N45" s="41">
        <v>0.32200000000000001</v>
      </c>
      <c r="O45" s="41">
        <v>68.400000000000006</v>
      </c>
      <c r="P45" s="41">
        <v>1.0069999999999999</v>
      </c>
      <c r="Q45" s="41">
        <v>5.4</v>
      </c>
      <c r="R45" s="41">
        <v>58.5</v>
      </c>
      <c r="S45" s="41">
        <v>36.299999999999997</v>
      </c>
      <c r="T45" s="61">
        <v>0.72699999999999998</v>
      </c>
      <c r="U45" s="41">
        <v>16.399999999999999</v>
      </c>
      <c r="V45" s="41">
        <v>30.7</v>
      </c>
      <c r="W45" s="41">
        <v>35.4</v>
      </c>
      <c r="X45" s="41">
        <v>9.9000000000000005E-2</v>
      </c>
      <c r="Y45" s="41">
        <v>44.4</v>
      </c>
      <c r="Z45" s="41">
        <v>0.12</v>
      </c>
      <c r="AA45" s="41">
        <v>0.14399999999999999</v>
      </c>
      <c r="AB45" s="41">
        <v>0.2</v>
      </c>
      <c r="AC45" s="41">
        <v>0.36099999999999999</v>
      </c>
      <c r="AD45" s="68">
        <v>0.33300000000000002</v>
      </c>
      <c r="AE45" s="41">
        <v>28</v>
      </c>
      <c r="AF45" s="41">
        <v>6</v>
      </c>
      <c r="AG45" s="41">
        <v>104</v>
      </c>
    </row>
    <row r="46" spans="1:33" x14ac:dyDescent="0.45">
      <c r="A46" s="2" t="s">
        <v>29</v>
      </c>
      <c r="B46" s="2">
        <v>12</v>
      </c>
      <c r="C46" s="2">
        <v>1.101</v>
      </c>
      <c r="D46" s="2">
        <v>0.98099999999999998</v>
      </c>
      <c r="E46" s="2">
        <v>0.12</v>
      </c>
      <c r="F46" s="2">
        <v>47.5</v>
      </c>
      <c r="G46" s="2">
        <v>34.4</v>
      </c>
      <c r="H46" s="2">
        <v>18.100000000000001</v>
      </c>
      <c r="I46" s="2">
        <v>117.9</v>
      </c>
      <c r="J46" s="2">
        <v>36.6</v>
      </c>
      <c r="K46" s="2">
        <v>42.8</v>
      </c>
      <c r="L46" s="2">
        <v>55.8</v>
      </c>
      <c r="M46" s="2">
        <v>0.77500000000000002</v>
      </c>
      <c r="N46" s="2">
        <v>0.318</v>
      </c>
      <c r="O46" s="2">
        <v>68.400000000000006</v>
      </c>
      <c r="P46" s="2">
        <v>0.93700000000000006</v>
      </c>
      <c r="Q46" s="2">
        <v>-1</v>
      </c>
      <c r="R46" s="2">
        <v>61.6</v>
      </c>
      <c r="S46" s="2">
        <v>24.7</v>
      </c>
      <c r="T46" s="25">
        <v>0.75700000000000001</v>
      </c>
      <c r="U46" s="2">
        <v>17</v>
      </c>
      <c r="V46" s="2">
        <v>33.200000000000003</v>
      </c>
      <c r="W46" s="2">
        <v>38</v>
      </c>
      <c r="X46" s="2">
        <v>4.9000000000000002E-2</v>
      </c>
      <c r="Y46" s="2">
        <v>48.5</v>
      </c>
      <c r="Z46" s="2">
        <v>7.4999999999999997E-2</v>
      </c>
      <c r="AA46" s="2">
        <v>0.16200000000000001</v>
      </c>
      <c r="AB46" s="2">
        <v>0.16400000000000001</v>
      </c>
      <c r="AC46" s="2">
        <v>0.33600000000000002</v>
      </c>
      <c r="AD46" s="67">
        <v>0.83299999999999996</v>
      </c>
      <c r="AE46" s="2">
        <v>25</v>
      </c>
      <c r="AF46" s="2">
        <v>9</v>
      </c>
      <c r="AG46" s="2">
        <v>83</v>
      </c>
    </row>
    <row r="47" spans="1:33" x14ac:dyDescent="0.45">
      <c r="A47" s="1" t="s">
        <v>71</v>
      </c>
      <c r="B47" s="2">
        <v>12</v>
      </c>
      <c r="C47" s="2">
        <v>1.131</v>
      </c>
      <c r="D47" s="2">
        <v>0.91200000000000003</v>
      </c>
      <c r="E47" s="2">
        <v>0.219</v>
      </c>
      <c r="F47" s="2">
        <v>41.8</v>
      </c>
      <c r="G47" s="2">
        <v>39.700000000000003</v>
      </c>
      <c r="H47" s="2">
        <v>18.399999999999999</v>
      </c>
      <c r="I47" s="2">
        <v>116.7</v>
      </c>
      <c r="J47" s="2">
        <v>36.5</v>
      </c>
      <c r="K47" s="2">
        <v>49.6</v>
      </c>
      <c r="L47" s="2">
        <v>55.4</v>
      </c>
      <c r="M47" s="2">
        <v>0.747</v>
      </c>
      <c r="N47" s="2">
        <v>0.33800000000000002</v>
      </c>
      <c r="O47" s="2">
        <v>68.900000000000006</v>
      </c>
      <c r="P47" s="2">
        <v>0.97</v>
      </c>
      <c r="Q47" s="2">
        <v>6</v>
      </c>
      <c r="R47" s="2">
        <v>62.1</v>
      </c>
      <c r="S47" s="2">
        <v>22.8</v>
      </c>
      <c r="T47" s="25">
        <v>0.749</v>
      </c>
      <c r="U47" s="2">
        <v>13.1</v>
      </c>
      <c r="V47" s="2">
        <v>33.1</v>
      </c>
      <c r="W47" s="2">
        <v>44.4</v>
      </c>
      <c r="X47" s="2">
        <v>0.04</v>
      </c>
      <c r="Y47" s="2">
        <v>47.7</v>
      </c>
      <c r="Z47" s="2">
        <v>0.13700000000000001</v>
      </c>
      <c r="AA47" s="2">
        <v>0.16300000000000001</v>
      </c>
      <c r="AB47" s="2">
        <v>0.22600000000000001</v>
      </c>
      <c r="AC47" s="2">
        <v>0.29799999999999999</v>
      </c>
      <c r="AD47" s="67">
        <v>0.5</v>
      </c>
      <c r="AE47" s="2">
        <v>30</v>
      </c>
      <c r="AF47" s="2">
        <v>4</v>
      </c>
      <c r="AG47" s="2">
        <v>230</v>
      </c>
    </row>
    <row r="48" spans="1:33" x14ac:dyDescent="0.45">
      <c r="A48" s="1" t="s">
        <v>72</v>
      </c>
      <c r="B48" s="2">
        <v>12</v>
      </c>
      <c r="C48" s="2">
        <v>1.1180000000000001</v>
      </c>
      <c r="D48" s="2">
        <v>0.95199999999999996</v>
      </c>
      <c r="E48" s="2">
        <v>0.16600000000000001</v>
      </c>
      <c r="F48" s="2">
        <v>51.7</v>
      </c>
      <c r="G48" s="2">
        <v>29.6</v>
      </c>
      <c r="H48" s="2">
        <v>18.8</v>
      </c>
      <c r="I48" s="2">
        <v>111.7</v>
      </c>
      <c r="J48" s="2">
        <v>35.6</v>
      </c>
      <c r="K48" s="2">
        <v>36.700000000000003</v>
      </c>
      <c r="L48" s="2">
        <v>53.3</v>
      </c>
      <c r="M48" s="2">
        <v>0.69399999999999995</v>
      </c>
      <c r="N48" s="2">
        <v>0.35699999999999998</v>
      </c>
      <c r="O48" s="2">
        <v>67.400000000000006</v>
      </c>
      <c r="P48" s="2">
        <v>0.997</v>
      </c>
      <c r="Q48" s="2">
        <v>4.7</v>
      </c>
      <c r="R48" s="2">
        <v>58</v>
      </c>
      <c r="S48" s="2">
        <v>33.799999999999997</v>
      </c>
      <c r="T48" s="25">
        <v>0.70299999999999996</v>
      </c>
      <c r="U48" s="2">
        <v>15.9</v>
      </c>
      <c r="V48" s="2">
        <v>32.4</v>
      </c>
      <c r="W48" s="2">
        <v>46.9</v>
      </c>
      <c r="X48" s="2">
        <v>6.4000000000000001E-2</v>
      </c>
      <c r="Y48" s="2">
        <v>47.5</v>
      </c>
      <c r="Z48" s="2">
        <v>0.13</v>
      </c>
      <c r="AA48" s="2">
        <v>0.17899999999999999</v>
      </c>
      <c r="AB48" s="2">
        <v>0.21199999999999999</v>
      </c>
      <c r="AC48" s="2">
        <v>0.314</v>
      </c>
      <c r="AD48" s="67">
        <v>0.6</v>
      </c>
      <c r="AE48" s="2">
        <v>27</v>
      </c>
      <c r="AF48" s="2">
        <v>6</v>
      </c>
      <c r="AG48" s="2">
        <v>272</v>
      </c>
    </row>
    <row r="49" spans="1:33" s="15" customFormat="1" ht="14.65" thickBot="1" x14ac:dyDescent="0.5">
      <c r="A49" s="13" t="s">
        <v>42</v>
      </c>
      <c r="B49" s="41">
        <v>12</v>
      </c>
      <c r="C49" s="41">
        <v>1.0940000000000001</v>
      </c>
      <c r="D49" s="41">
        <v>0.95299999999999996</v>
      </c>
      <c r="E49" s="41">
        <v>0.14099999999999999</v>
      </c>
      <c r="F49" s="41">
        <v>44</v>
      </c>
      <c r="G49" s="41">
        <v>41.4</v>
      </c>
      <c r="H49" s="41">
        <v>14.6</v>
      </c>
      <c r="I49" s="41">
        <v>118.3</v>
      </c>
      <c r="J49" s="41">
        <v>39.5</v>
      </c>
      <c r="K49" s="41">
        <v>47.7</v>
      </c>
      <c r="L49" s="41">
        <v>58.4</v>
      </c>
      <c r="M49" s="41">
        <v>0.65200000000000002</v>
      </c>
      <c r="N49" s="41">
        <v>0.309</v>
      </c>
      <c r="O49" s="41">
        <v>68</v>
      </c>
      <c r="P49" s="41">
        <v>0.92400000000000004</v>
      </c>
      <c r="Q49" s="41">
        <v>-2</v>
      </c>
      <c r="R49" s="41">
        <v>63.2</v>
      </c>
      <c r="S49" s="41">
        <v>17.600000000000001</v>
      </c>
      <c r="T49" s="61">
        <v>0.74099999999999999</v>
      </c>
      <c r="U49" s="41">
        <v>15</v>
      </c>
      <c r="V49" s="41">
        <v>28.7</v>
      </c>
      <c r="W49" s="41">
        <v>34.5</v>
      </c>
      <c r="X49" s="41">
        <v>5.1999999999999998E-2</v>
      </c>
      <c r="Y49" s="41">
        <v>46</v>
      </c>
      <c r="Z49" s="41">
        <v>0.09</v>
      </c>
      <c r="AA49" s="41">
        <v>0.14000000000000001</v>
      </c>
      <c r="AB49" s="41">
        <v>0.16700000000000001</v>
      </c>
      <c r="AC49" s="41">
        <v>0.26300000000000001</v>
      </c>
      <c r="AD49" s="68">
        <v>0.58299999999999996</v>
      </c>
      <c r="AE49" s="41">
        <v>28</v>
      </c>
      <c r="AF49" s="41">
        <v>6</v>
      </c>
      <c r="AG49" s="41">
        <v>193</v>
      </c>
    </row>
    <row r="50" spans="1:33" x14ac:dyDescent="0.45">
      <c r="A50" s="2" t="s">
        <v>44</v>
      </c>
      <c r="B50" s="2">
        <v>13</v>
      </c>
      <c r="C50" s="2">
        <v>1.1259999999999999</v>
      </c>
      <c r="D50" s="2">
        <v>1.0169999999999999</v>
      </c>
      <c r="E50" s="2">
        <v>0.109</v>
      </c>
      <c r="F50" s="2">
        <v>46.5</v>
      </c>
      <c r="G50" s="2">
        <v>37.9</v>
      </c>
      <c r="H50" s="2">
        <v>15.6</v>
      </c>
      <c r="I50" s="2">
        <v>115.4</v>
      </c>
      <c r="J50" s="2">
        <v>36.6</v>
      </c>
      <c r="K50" s="2">
        <v>45.4</v>
      </c>
      <c r="L50" s="2">
        <v>55.4</v>
      </c>
      <c r="M50" s="2">
        <v>0.751</v>
      </c>
      <c r="N50" s="2">
        <v>0.26800000000000002</v>
      </c>
      <c r="O50" s="2">
        <v>74.599999999999994</v>
      </c>
      <c r="P50" s="2">
        <v>0.97199999999999998</v>
      </c>
      <c r="Q50" s="2">
        <v>1.5</v>
      </c>
      <c r="R50" s="2">
        <v>59.7</v>
      </c>
      <c r="S50" s="2">
        <v>31.6</v>
      </c>
      <c r="T50" s="25">
        <v>0.73199999999999998</v>
      </c>
      <c r="U50" s="2">
        <v>16.2</v>
      </c>
      <c r="V50" s="2">
        <v>32.4</v>
      </c>
      <c r="W50" s="2">
        <v>38</v>
      </c>
      <c r="X50" s="2">
        <v>6.0999999999999999E-2</v>
      </c>
      <c r="Y50" s="2">
        <v>49.5</v>
      </c>
      <c r="Z50" s="2">
        <v>0.1</v>
      </c>
      <c r="AA50" s="2">
        <v>0.16400000000000001</v>
      </c>
      <c r="AB50" s="2">
        <v>0.16800000000000001</v>
      </c>
      <c r="AC50" s="2">
        <v>0.33700000000000002</v>
      </c>
      <c r="AD50" s="67">
        <v>0.71399999999999997</v>
      </c>
      <c r="AE50" s="2">
        <v>28</v>
      </c>
      <c r="AF50" s="2">
        <v>6</v>
      </c>
      <c r="AG50" s="2">
        <v>273</v>
      </c>
    </row>
    <row r="51" spans="1:33" x14ac:dyDescent="0.45">
      <c r="A51" s="1" t="s">
        <v>56</v>
      </c>
      <c r="B51" s="2">
        <v>13</v>
      </c>
      <c r="C51" s="2">
        <v>1.1839999999999999</v>
      </c>
      <c r="D51" s="2">
        <v>1.022</v>
      </c>
      <c r="E51" s="2">
        <v>0.16200000000000001</v>
      </c>
      <c r="F51" s="2">
        <v>49.2</v>
      </c>
      <c r="G51" s="2">
        <v>30.7</v>
      </c>
      <c r="H51" s="2">
        <v>20.100000000000001</v>
      </c>
      <c r="I51" s="2">
        <v>119.8</v>
      </c>
      <c r="J51" s="2">
        <v>36.6</v>
      </c>
      <c r="K51" s="2">
        <v>39</v>
      </c>
      <c r="L51" s="2">
        <v>56.4</v>
      </c>
      <c r="M51" s="2">
        <v>0.76200000000000001</v>
      </c>
      <c r="N51" s="2">
        <v>0.376</v>
      </c>
      <c r="O51" s="2">
        <v>69</v>
      </c>
      <c r="P51" s="2">
        <v>0.98599999999999999</v>
      </c>
      <c r="Q51" s="2">
        <v>1</v>
      </c>
      <c r="R51" s="2">
        <v>62.1</v>
      </c>
      <c r="S51" s="2">
        <v>32.6</v>
      </c>
      <c r="T51" s="25">
        <v>0.71799999999999997</v>
      </c>
      <c r="U51" s="2">
        <v>15</v>
      </c>
      <c r="V51" s="2">
        <v>32.9</v>
      </c>
      <c r="W51" s="2">
        <v>35.6</v>
      </c>
      <c r="X51" s="2">
        <v>4.5999999999999999E-2</v>
      </c>
      <c r="Y51" s="2">
        <v>49.1</v>
      </c>
      <c r="Z51" s="2">
        <v>8.5000000000000006E-2</v>
      </c>
      <c r="AA51" s="2">
        <v>0.154</v>
      </c>
      <c r="AB51" s="2">
        <v>0.16</v>
      </c>
      <c r="AC51" s="2">
        <v>0.36299999999999999</v>
      </c>
      <c r="AD51" s="67">
        <v>0.6</v>
      </c>
      <c r="AE51" s="2">
        <v>29</v>
      </c>
      <c r="AF51" s="2">
        <v>5</v>
      </c>
      <c r="AG51" s="2">
        <v>302</v>
      </c>
    </row>
    <row r="52" spans="1:33" x14ac:dyDescent="0.45">
      <c r="A52" s="1" t="s">
        <v>18</v>
      </c>
      <c r="B52" s="2">
        <v>13</v>
      </c>
      <c r="C52" s="2">
        <v>1.1479999999999999</v>
      </c>
      <c r="D52" s="2">
        <v>1</v>
      </c>
      <c r="E52" s="2">
        <v>0.14799999999999999</v>
      </c>
      <c r="F52" s="2">
        <v>54.5</v>
      </c>
      <c r="G52" s="2">
        <v>28</v>
      </c>
      <c r="H52" s="2">
        <v>17.600000000000001</v>
      </c>
      <c r="I52" s="2">
        <v>115.3</v>
      </c>
      <c r="J52" s="2">
        <v>38.5</v>
      </c>
      <c r="K52" s="2">
        <v>32</v>
      </c>
      <c r="L52" s="2">
        <v>54.8</v>
      </c>
      <c r="M52" s="2">
        <v>0.73399999999999999</v>
      </c>
      <c r="N52" s="2">
        <v>0.32</v>
      </c>
      <c r="O52" s="2">
        <v>70.5</v>
      </c>
      <c r="P52" s="2">
        <v>0.98699999999999999</v>
      </c>
      <c r="Q52" s="2">
        <v>2.2000000000000002</v>
      </c>
      <c r="R52" s="2">
        <v>57.8</v>
      </c>
      <c r="S52" s="2">
        <v>30.6</v>
      </c>
      <c r="T52" s="25">
        <v>0.76500000000000001</v>
      </c>
      <c r="U52" s="2">
        <v>14</v>
      </c>
      <c r="V52" s="2">
        <v>33.4</v>
      </c>
      <c r="W52" s="2">
        <v>47.8</v>
      </c>
      <c r="X52" s="2">
        <v>0.06</v>
      </c>
      <c r="Y52" s="2">
        <v>48.8</v>
      </c>
      <c r="Z52" s="2">
        <v>0.08</v>
      </c>
      <c r="AA52" s="2">
        <v>0.19900000000000001</v>
      </c>
      <c r="AB52" s="2">
        <v>0.157</v>
      </c>
      <c r="AC52" s="2">
        <v>0.28699999999999998</v>
      </c>
      <c r="AD52" s="67">
        <v>0.625</v>
      </c>
      <c r="AE52" s="2">
        <v>22</v>
      </c>
      <c r="AF52" s="2">
        <v>7</v>
      </c>
      <c r="AG52" s="2">
        <v>158</v>
      </c>
    </row>
    <row r="53" spans="1:33" s="15" customFormat="1" ht="14.65" thickBot="1" x14ac:dyDescent="0.5">
      <c r="A53" s="13" t="s">
        <v>31</v>
      </c>
      <c r="B53" s="41">
        <v>13</v>
      </c>
      <c r="C53" s="41">
        <v>1.054</v>
      </c>
      <c r="D53" s="41">
        <v>0.93500000000000005</v>
      </c>
      <c r="E53" s="41">
        <v>0.11899999999999999</v>
      </c>
      <c r="F53" s="41">
        <v>52.2</v>
      </c>
      <c r="G53" s="41">
        <v>23.8</v>
      </c>
      <c r="H53" s="41">
        <v>24</v>
      </c>
      <c r="I53" s="41">
        <v>110.6</v>
      </c>
      <c r="J53" s="41">
        <v>31.6</v>
      </c>
      <c r="K53" s="41">
        <v>33.6</v>
      </c>
      <c r="L53" s="41">
        <v>51.3</v>
      </c>
      <c r="M53" s="41">
        <v>0.73299999999999998</v>
      </c>
      <c r="N53" s="41">
        <v>0.44</v>
      </c>
      <c r="O53" s="41">
        <v>74.5</v>
      </c>
      <c r="P53" s="41">
        <v>0.94699999999999995</v>
      </c>
      <c r="Q53" s="41">
        <v>2.1</v>
      </c>
      <c r="R53" s="41">
        <v>57.9</v>
      </c>
      <c r="S53" s="41">
        <v>30.5</v>
      </c>
      <c r="T53" s="61">
        <v>0.73399999999999999</v>
      </c>
      <c r="U53" s="41">
        <v>18</v>
      </c>
      <c r="V53" s="41">
        <v>32.299999999999997</v>
      </c>
      <c r="W53" s="41">
        <v>34.1</v>
      </c>
      <c r="X53" s="41">
        <v>8.5999999999999993E-2</v>
      </c>
      <c r="Y53" s="41">
        <v>47</v>
      </c>
      <c r="Z53" s="41">
        <v>0.122</v>
      </c>
      <c r="AA53" s="41">
        <v>0.159</v>
      </c>
      <c r="AB53" s="41">
        <v>0.19900000000000001</v>
      </c>
      <c r="AC53" s="41">
        <v>0.32200000000000001</v>
      </c>
      <c r="AD53" s="68">
        <v>0.71399999999999997</v>
      </c>
      <c r="AE53" s="41">
        <v>26</v>
      </c>
      <c r="AF53" s="41">
        <v>7</v>
      </c>
      <c r="AG53" s="41">
        <v>243</v>
      </c>
    </row>
    <row r="54" spans="1:33" x14ac:dyDescent="0.45">
      <c r="A54" s="2" t="s">
        <v>46</v>
      </c>
      <c r="B54" s="2">
        <v>14</v>
      </c>
      <c r="C54" s="2">
        <v>1.089</v>
      </c>
      <c r="D54" s="2">
        <v>1.0780000000000001</v>
      </c>
      <c r="E54" s="2">
        <v>1.0999999999999999E-2</v>
      </c>
      <c r="F54" s="2">
        <v>51.9</v>
      </c>
      <c r="G54" s="2">
        <v>28.9</v>
      </c>
      <c r="H54" s="2">
        <v>19.2</v>
      </c>
      <c r="I54" s="2">
        <v>118.4</v>
      </c>
      <c r="J54" s="2">
        <v>36.5</v>
      </c>
      <c r="K54" s="2">
        <v>36.799999999999997</v>
      </c>
      <c r="L54" s="2">
        <v>56.4</v>
      </c>
      <c r="M54" s="2">
        <v>0.746</v>
      </c>
      <c r="N54" s="2">
        <v>0.36199999999999999</v>
      </c>
      <c r="O54" s="2">
        <v>69.3</v>
      </c>
      <c r="P54" s="2">
        <v>0.92200000000000004</v>
      </c>
      <c r="Q54" s="2">
        <v>-2.9</v>
      </c>
      <c r="R54" s="2">
        <v>62.3</v>
      </c>
      <c r="S54" s="2">
        <v>19.7</v>
      </c>
      <c r="T54" s="25">
        <v>0.73</v>
      </c>
      <c r="U54" s="2">
        <v>15.8</v>
      </c>
      <c r="V54" s="2">
        <v>33.6</v>
      </c>
      <c r="W54" s="2">
        <v>35.1</v>
      </c>
      <c r="X54" s="2">
        <v>5.1999999999999998E-2</v>
      </c>
      <c r="Y54" s="2">
        <v>52.2</v>
      </c>
      <c r="Z54" s="2">
        <v>8.7999999999999995E-2</v>
      </c>
      <c r="AA54" s="2">
        <v>0.17899999999999999</v>
      </c>
      <c r="AB54" s="2">
        <v>0.152</v>
      </c>
      <c r="AC54" s="2">
        <v>0.31900000000000001</v>
      </c>
      <c r="AD54" s="67">
        <v>0.8</v>
      </c>
      <c r="AE54" s="2">
        <v>25</v>
      </c>
      <c r="AF54" s="2">
        <v>9</v>
      </c>
      <c r="AG54" s="2">
        <v>237</v>
      </c>
    </row>
    <row r="55" spans="1:33" x14ac:dyDescent="0.45">
      <c r="A55" s="1" t="s">
        <v>6</v>
      </c>
      <c r="B55" s="2">
        <v>14</v>
      </c>
      <c r="C55" s="2">
        <v>1.1200000000000001</v>
      </c>
      <c r="D55" s="2">
        <v>1.02</v>
      </c>
      <c r="E55" s="2">
        <v>0.01</v>
      </c>
      <c r="F55" s="2">
        <v>51.6</v>
      </c>
      <c r="G55" s="2">
        <v>27</v>
      </c>
      <c r="H55" s="2">
        <v>21.3</v>
      </c>
      <c r="I55" s="2">
        <v>112.4</v>
      </c>
      <c r="J55" s="2">
        <v>33</v>
      </c>
      <c r="K55" s="2">
        <v>36.200000000000003</v>
      </c>
      <c r="L55" s="2">
        <v>52.2</v>
      </c>
      <c r="M55" s="2">
        <v>0.755</v>
      </c>
      <c r="N55" s="2">
        <v>0.378</v>
      </c>
      <c r="O55" s="2">
        <v>68.599999999999994</v>
      </c>
      <c r="P55" s="2">
        <v>0.996</v>
      </c>
      <c r="Q55" s="2">
        <v>1.7</v>
      </c>
      <c r="R55" s="2">
        <v>59.3</v>
      </c>
      <c r="S55" s="2">
        <v>34.6</v>
      </c>
      <c r="T55" s="25">
        <v>0.74399999999999999</v>
      </c>
      <c r="U55" s="2">
        <v>15.6</v>
      </c>
      <c r="V55" s="2">
        <v>34</v>
      </c>
      <c r="W55" s="2">
        <v>43.5</v>
      </c>
      <c r="X55" s="2">
        <v>5.8999999999999997E-2</v>
      </c>
      <c r="Y55" s="2">
        <v>50.9</v>
      </c>
      <c r="Z55" s="2">
        <v>9.1999999999999998E-2</v>
      </c>
      <c r="AA55" s="2">
        <v>0.17899999999999999</v>
      </c>
      <c r="AB55" s="2">
        <v>0.16800000000000001</v>
      </c>
      <c r="AC55" s="2">
        <v>0.30299999999999999</v>
      </c>
      <c r="AD55" s="67">
        <v>0.625</v>
      </c>
      <c r="AE55" s="2">
        <v>27</v>
      </c>
      <c r="AF55" s="2">
        <v>7</v>
      </c>
      <c r="AG55" s="2">
        <v>275</v>
      </c>
    </row>
    <row r="56" spans="1:33" x14ac:dyDescent="0.45">
      <c r="A56" s="1" t="s">
        <v>21</v>
      </c>
      <c r="B56" s="2">
        <v>14</v>
      </c>
      <c r="C56" s="2">
        <v>1.1299999999999999</v>
      </c>
      <c r="D56" s="2">
        <v>0.98599999999999999</v>
      </c>
      <c r="E56" s="2">
        <v>0.14399999999999999</v>
      </c>
      <c r="F56" s="2">
        <v>43.5</v>
      </c>
      <c r="G56" s="2">
        <v>38.299999999999997</v>
      </c>
      <c r="H56" s="2">
        <v>18.2</v>
      </c>
      <c r="I56" s="2">
        <v>118.5</v>
      </c>
      <c r="J56" s="2">
        <v>36.700000000000003</v>
      </c>
      <c r="K56" s="2">
        <v>47.4</v>
      </c>
      <c r="L56" s="2">
        <v>55.9</v>
      </c>
      <c r="M56" s="2">
        <v>0.79600000000000004</v>
      </c>
      <c r="N56" s="2">
        <v>0.314</v>
      </c>
      <c r="O56" s="2">
        <v>68.7</v>
      </c>
      <c r="P56" s="2">
        <v>0.94499999999999995</v>
      </c>
      <c r="Q56" s="2">
        <v>-1.6</v>
      </c>
      <c r="R56" s="2">
        <v>63.1</v>
      </c>
      <c r="S56" s="2">
        <v>21.2</v>
      </c>
      <c r="T56" s="25">
        <v>0.748</v>
      </c>
      <c r="U56" s="2">
        <v>14.2</v>
      </c>
      <c r="V56" s="2">
        <v>31.2</v>
      </c>
      <c r="W56" s="2">
        <v>37</v>
      </c>
      <c r="X56" s="2">
        <v>4.7E-2</v>
      </c>
      <c r="Y56" s="2">
        <v>48.7</v>
      </c>
      <c r="Z56" s="2">
        <v>9.7000000000000003E-2</v>
      </c>
      <c r="AA56" s="2">
        <v>0.152</v>
      </c>
      <c r="AB56" s="2">
        <v>0.156</v>
      </c>
      <c r="AC56" s="2">
        <v>0.223</v>
      </c>
      <c r="AD56" s="67">
        <v>0.33300000000000002</v>
      </c>
      <c r="AE56" s="2">
        <v>25</v>
      </c>
      <c r="AF56" s="2">
        <v>9</v>
      </c>
      <c r="AG56" s="2">
        <v>319</v>
      </c>
    </row>
    <row r="57" spans="1:33" s="15" customFormat="1" ht="14.65" thickBot="1" x14ac:dyDescent="0.5">
      <c r="A57" s="13" t="s">
        <v>59</v>
      </c>
      <c r="B57" s="41">
        <v>14</v>
      </c>
      <c r="C57" s="41">
        <v>1.0549999999999999</v>
      </c>
      <c r="D57" s="41">
        <v>0.96099999999999997</v>
      </c>
      <c r="E57" s="41">
        <v>9.4E-2</v>
      </c>
      <c r="F57" s="41">
        <v>46.6</v>
      </c>
      <c r="G57" s="41">
        <v>32.200000000000003</v>
      </c>
      <c r="H57" s="41">
        <v>21.2</v>
      </c>
      <c r="I57" s="41">
        <v>107.5</v>
      </c>
      <c r="J57" s="41">
        <v>30.3</v>
      </c>
      <c r="K57" s="41">
        <v>44.8</v>
      </c>
      <c r="L57" s="41">
        <v>50.1</v>
      </c>
      <c r="M57" s="41">
        <v>0.72399999999999998</v>
      </c>
      <c r="N57" s="41">
        <v>0.378</v>
      </c>
      <c r="O57" s="41">
        <v>68.7</v>
      </c>
      <c r="P57" s="41">
        <v>0.97899999999999998</v>
      </c>
      <c r="Q57" s="41">
        <v>2.4</v>
      </c>
      <c r="R57" s="41">
        <v>59.9</v>
      </c>
      <c r="S57" s="41">
        <v>37.700000000000003</v>
      </c>
      <c r="T57" s="61">
        <v>0.70699999999999996</v>
      </c>
      <c r="U57" s="41">
        <v>19.399999999999999</v>
      </c>
      <c r="V57" s="41">
        <v>32.799999999999997</v>
      </c>
      <c r="W57" s="41">
        <v>38.299999999999997</v>
      </c>
      <c r="X57" s="41">
        <v>7.6999999999999999E-2</v>
      </c>
      <c r="Y57" s="41">
        <v>47.2</v>
      </c>
      <c r="Z57" s="41">
        <v>0.13300000000000001</v>
      </c>
      <c r="AA57" s="41">
        <v>0.17899999999999999</v>
      </c>
      <c r="AB57" s="41">
        <v>0.191</v>
      </c>
      <c r="AC57" s="41">
        <v>0.29299999999999998</v>
      </c>
      <c r="AD57" s="68">
        <v>0.375</v>
      </c>
      <c r="AE57" s="41">
        <v>23</v>
      </c>
      <c r="AF57" s="41">
        <v>10</v>
      </c>
      <c r="AG57" s="41">
        <v>203</v>
      </c>
    </row>
    <row r="58" spans="1:33" x14ac:dyDescent="0.45">
      <c r="A58" s="2" t="s">
        <v>38</v>
      </c>
      <c r="B58" s="2">
        <v>15</v>
      </c>
      <c r="C58" s="2">
        <v>1.091</v>
      </c>
      <c r="D58" s="2">
        <v>1.08</v>
      </c>
      <c r="E58" s="2">
        <v>1.0999999999999999E-2</v>
      </c>
      <c r="F58" s="2">
        <v>48.2</v>
      </c>
      <c r="G58" s="2">
        <v>31.8</v>
      </c>
      <c r="H58" s="2">
        <v>20</v>
      </c>
      <c r="I58" s="2">
        <v>112.3</v>
      </c>
      <c r="J58" s="2">
        <v>35.6</v>
      </c>
      <c r="K58" s="2">
        <v>39.1</v>
      </c>
      <c r="L58" s="2">
        <v>52.6</v>
      </c>
      <c r="M58" s="2">
        <v>0.73</v>
      </c>
      <c r="N58" s="2">
        <v>0.36</v>
      </c>
      <c r="O58" s="2">
        <v>70.599999999999994</v>
      </c>
      <c r="P58" s="2">
        <v>0.97299999999999998</v>
      </c>
      <c r="Q58" s="2">
        <v>1.4</v>
      </c>
      <c r="R58" s="2">
        <v>57</v>
      </c>
      <c r="S58" s="2">
        <v>28.3</v>
      </c>
      <c r="T58" s="25">
        <v>0.77400000000000002</v>
      </c>
      <c r="U58" s="2">
        <v>15.2</v>
      </c>
      <c r="V58" s="2">
        <v>35.200000000000003</v>
      </c>
      <c r="W58" s="2">
        <v>45</v>
      </c>
      <c r="X58" s="2">
        <v>3.9E-2</v>
      </c>
      <c r="Y58" s="2">
        <v>53.2</v>
      </c>
      <c r="Z58" s="2">
        <v>0.82</v>
      </c>
      <c r="AA58" s="2">
        <v>0.192</v>
      </c>
      <c r="AB58" s="2">
        <v>0.14499999999999999</v>
      </c>
      <c r="AC58" s="2">
        <v>0.372</v>
      </c>
      <c r="AD58" s="67">
        <v>0.66700000000000004</v>
      </c>
      <c r="AE58" s="2">
        <v>22</v>
      </c>
      <c r="AF58" s="2">
        <v>12</v>
      </c>
      <c r="AG58" s="2">
        <v>223</v>
      </c>
    </row>
    <row r="59" spans="1:33" x14ac:dyDescent="0.45">
      <c r="A59" s="1" t="s">
        <v>62</v>
      </c>
      <c r="B59" s="2">
        <v>15</v>
      </c>
      <c r="C59" s="2">
        <v>1.0980000000000001</v>
      </c>
      <c r="D59" s="2">
        <v>1.0649999999999999</v>
      </c>
      <c r="E59" s="2">
        <v>3.3000000000000002E-2</v>
      </c>
      <c r="F59" s="2">
        <v>44.7</v>
      </c>
      <c r="G59" s="2">
        <v>39.200000000000003</v>
      </c>
      <c r="H59" s="2">
        <v>16.100000000000001</v>
      </c>
      <c r="I59" s="2">
        <v>110.8</v>
      </c>
      <c r="J59" s="2">
        <v>34.799999999999997</v>
      </c>
      <c r="K59" s="2">
        <v>47.7</v>
      </c>
      <c r="L59" s="2">
        <v>53.2</v>
      </c>
      <c r="M59" s="2">
        <v>0.66700000000000004</v>
      </c>
      <c r="N59" s="2">
        <v>0.30599999999999999</v>
      </c>
      <c r="O59" s="2">
        <v>66.5</v>
      </c>
      <c r="P59" s="2">
        <v>0.99099999999999999</v>
      </c>
      <c r="Q59" s="2">
        <v>1.6</v>
      </c>
      <c r="R59" s="2">
        <v>60.1</v>
      </c>
      <c r="S59" s="2">
        <v>33.6</v>
      </c>
      <c r="T59" s="25">
        <v>0.75600000000000001</v>
      </c>
      <c r="U59" s="2">
        <v>16.5</v>
      </c>
      <c r="V59" s="2">
        <v>34.5</v>
      </c>
      <c r="W59" s="2">
        <v>46</v>
      </c>
      <c r="X59" s="2">
        <v>4.7E-2</v>
      </c>
      <c r="Y59" s="2">
        <v>51.9</v>
      </c>
      <c r="Z59" s="2">
        <v>0.82</v>
      </c>
      <c r="AA59" s="2">
        <v>0.18</v>
      </c>
      <c r="AB59" s="2">
        <v>0.14399999999999999</v>
      </c>
      <c r="AC59" s="2">
        <v>0.36399999999999999</v>
      </c>
      <c r="AD59" s="67">
        <v>0.3</v>
      </c>
      <c r="AE59" s="2">
        <v>19</v>
      </c>
      <c r="AF59" s="2">
        <v>15</v>
      </c>
      <c r="AG59" s="2">
        <v>162</v>
      </c>
    </row>
    <row r="60" spans="1:33" x14ac:dyDescent="0.45">
      <c r="A60" s="1" t="s">
        <v>50</v>
      </c>
      <c r="B60" s="2">
        <v>15</v>
      </c>
      <c r="C60" s="2">
        <v>1.073</v>
      </c>
      <c r="D60" s="2">
        <v>0.999</v>
      </c>
      <c r="E60" s="2">
        <v>7.3999999999999996E-2</v>
      </c>
      <c r="F60" s="2">
        <v>49.6</v>
      </c>
      <c r="G60" s="2">
        <v>29.5</v>
      </c>
      <c r="H60" s="2">
        <v>20.9</v>
      </c>
      <c r="I60" s="2">
        <v>109.7</v>
      </c>
      <c r="J60" s="2">
        <v>34.6</v>
      </c>
      <c r="K60" s="2">
        <v>36.700000000000003</v>
      </c>
      <c r="L60" s="2">
        <v>51.2</v>
      </c>
      <c r="M60" s="2">
        <v>0.71799999999999997</v>
      </c>
      <c r="N60" s="2">
        <v>0.376</v>
      </c>
      <c r="O60" s="2">
        <v>71.7</v>
      </c>
      <c r="P60" s="2">
        <v>0.97699999999999998</v>
      </c>
      <c r="Q60" s="2">
        <v>3.7</v>
      </c>
      <c r="R60" s="2">
        <v>56</v>
      </c>
      <c r="S60" s="2">
        <v>34.700000000000003</v>
      </c>
      <c r="T60" s="25">
        <v>0.745</v>
      </c>
      <c r="U60" s="2">
        <v>17.8</v>
      </c>
      <c r="V60" s="2">
        <v>34</v>
      </c>
      <c r="W60" s="2">
        <v>35.6</v>
      </c>
      <c r="X60" s="2">
        <v>7.6999999999999999E-2</v>
      </c>
      <c r="Y60" s="2">
        <v>50.7</v>
      </c>
      <c r="Z60" s="2">
        <v>0.09</v>
      </c>
      <c r="AA60" s="2">
        <v>0.189</v>
      </c>
      <c r="AB60" s="2">
        <v>0.183</v>
      </c>
      <c r="AC60" s="2">
        <v>0.30299999999999999</v>
      </c>
      <c r="AD60" s="67">
        <v>0.66700000000000004</v>
      </c>
      <c r="AE60" s="2">
        <v>26</v>
      </c>
      <c r="AF60" s="2">
        <v>8</v>
      </c>
      <c r="AG60" s="2">
        <v>280</v>
      </c>
    </row>
    <row r="61" spans="1:33" s="15" customFormat="1" ht="14.65" thickBot="1" x14ac:dyDescent="0.5">
      <c r="A61" s="13" t="s">
        <v>25</v>
      </c>
      <c r="B61" s="41">
        <v>15</v>
      </c>
      <c r="C61" s="41">
        <v>1.0589999999999999</v>
      </c>
      <c r="D61" s="41">
        <v>0.99399999999999999</v>
      </c>
      <c r="E61" s="41">
        <v>6.5000000000000002E-2</v>
      </c>
      <c r="F61" s="41">
        <v>54.5</v>
      </c>
      <c r="G61" s="41">
        <v>28</v>
      </c>
      <c r="H61" s="41">
        <v>17.399999999999999</v>
      </c>
      <c r="I61" s="41">
        <v>107.4</v>
      </c>
      <c r="J61" s="41">
        <v>33</v>
      </c>
      <c r="K61" s="41">
        <v>34.799999999999997</v>
      </c>
      <c r="L61" s="41">
        <v>50.7</v>
      </c>
      <c r="M61" s="41">
        <v>0.71599999999999997</v>
      </c>
      <c r="N61" s="41">
        <v>0.29899999999999999</v>
      </c>
      <c r="O61" s="41">
        <v>75.400000000000006</v>
      </c>
      <c r="P61" s="41">
        <v>0.995</v>
      </c>
      <c r="Q61" s="41">
        <v>2.8</v>
      </c>
      <c r="R61" s="41">
        <v>54.4</v>
      </c>
      <c r="S61" s="41">
        <v>32.799999999999997</v>
      </c>
      <c r="T61" s="61">
        <v>0.74299999999999999</v>
      </c>
      <c r="U61" s="41">
        <v>15.9</v>
      </c>
      <c r="V61" s="41">
        <v>32.5</v>
      </c>
      <c r="W61" s="41">
        <v>36.1</v>
      </c>
      <c r="X61" s="41">
        <v>9.4E-2</v>
      </c>
      <c r="Y61" s="41">
        <v>47.8</v>
      </c>
      <c r="Z61" s="41">
        <v>8.6999999999999994E-2</v>
      </c>
      <c r="AA61" s="41">
        <v>0.154</v>
      </c>
      <c r="AB61" s="41">
        <v>0.159</v>
      </c>
      <c r="AC61" s="41">
        <v>0.3</v>
      </c>
      <c r="AD61" s="68">
        <v>0.36399999999999999</v>
      </c>
      <c r="AE61" s="41">
        <v>23</v>
      </c>
      <c r="AF61" s="41">
        <v>11</v>
      </c>
      <c r="AG61" s="41">
        <v>276</v>
      </c>
    </row>
    <row r="62" spans="1:33" x14ac:dyDescent="0.45">
      <c r="A62" s="2" t="s">
        <v>75</v>
      </c>
      <c r="B62" s="2">
        <v>16</v>
      </c>
      <c r="C62" s="2">
        <v>1.0089999999999999</v>
      </c>
      <c r="D62" s="2">
        <v>1.02</v>
      </c>
      <c r="E62" s="2">
        <v>-1.0999999999999999E-2</v>
      </c>
      <c r="F62" s="2">
        <v>45.7</v>
      </c>
      <c r="G62" s="2">
        <v>36.6</v>
      </c>
      <c r="H62" s="2">
        <v>17.7</v>
      </c>
      <c r="I62" s="2">
        <v>100.2</v>
      </c>
      <c r="J62" s="2">
        <v>32.6</v>
      </c>
      <c r="K62" s="2">
        <v>42.7</v>
      </c>
      <c r="L62" s="2">
        <v>47</v>
      </c>
      <c r="M62" s="2">
        <v>0.69199999999999995</v>
      </c>
      <c r="N62" s="2">
        <v>0.29099999999999998</v>
      </c>
      <c r="O62" s="2">
        <v>71.2</v>
      </c>
      <c r="P62" s="2">
        <v>1.002</v>
      </c>
      <c r="Q62" s="2">
        <v>4</v>
      </c>
      <c r="R62" s="2">
        <v>50.2</v>
      </c>
      <c r="S62" s="2">
        <v>25.6</v>
      </c>
      <c r="T62" s="25">
        <v>0.71299999999999997</v>
      </c>
      <c r="U62" s="2">
        <v>12.8</v>
      </c>
      <c r="V62" s="2">
        <v>33.700000000000003</v>
      </c>
      <c r="W62" s="2">
        <v>40.200000000000003</v>
      </c>
      <c r="X62" s="2">
        <v>0.05</v>
      </c>
      <c r="Y62" s="2">
        <v>50.7</v>
      </c>
      <c r="Z62" s="2">
        <v>0.109</v>
      </c>
      <c r="AA62" s="2">
        <v>0.17799999999999999</v>
      </c>
      <c r="AB62" s="2">
        <v>0.182</v>
      </c>
      <c r="AC62" s="2">
        <v>0.38900000000000001</v>
      </c>
      <c r="AD62" s="67">
        <v>0.75</v>
      </c>
      <c r="AE62" s="2">
        <v>20</v>
      </c>
      <c r="AF62" s="2">
        <v>15</v>
      </c>
      <c r="AG62" s="2">
        <v>318</v>
      </c>
    </row>
    <row r="63" spans="1:33" x14ac:dyDescent="0.45">
      <c r="A63" s="1" t="s">
        <v>95</v>
      </c>
      <c r="B63" s="2">
        <v>16</v>
      </c>
      <c r="C63" s="2">
        <v>1.075</v>
      </c>
      <c r="D63" s="2">
        <v>1.0329999999999999</v>
      </c>
      <c r="E63" s="2">
        <v>4.2000000000000003E-2</v>
      </c>
      <c r="F63" s="2">
        <v>59.2</v>
      </c>
      <c r="G63" s="2">
        <v>19.100000000000001</v>
      </c>
      <c r="H63" s="2">
        <v>21.7</v>
      </c>
      <c r="I63" s="2">
        <v>112.8</v>
      </c>
      <c r="J63" s="2">
        <v>30.8</v>
      </c>
      <c r="K63" s="2">
        <v>27.6</v>
      </c>
      <c r="L63" s="2">
        <v>52.2</v>
      </c>
      <c r="M63" s="2">
        <v>0.753</v>
      </c>
      <c r="N63" s="2">
        <v>0.38400000000000001</v>
      </c>
      <c r="O63" s="2">
        <v>69.5</v>
      </c>
      <c r="P63" s="2">
        <v>0.94199999999999995</v>
      </c>
      <c r="Q63" s="2">
        <v>-2.2999999999999998</v>
      </c>
      <c r="R63" s="2">
        <v>60.2</v>
      </c>
      <c r="S63" s="2">
        <v>29.8</v>
      </c>
      <c r="T63" s="25">
        <v>0.66400000000000003</v>
      </c>
      <c r="U63" s="2">
        <v>17.8</v>
      </c>
      <c r="V63" s="2">
        <v>33.799999999999997</v>
      </c>
      <c r="W63" s="2">
        <v>43.1</v>
      </c>
      <c r="X63" s="2">
        <v>5.0999999999999997E-2</v>
      </c>
      <c r="Y63" s="2">
        <v>50</v>
      </c>
      <c r="Z63" s="2">
        <v>9.2999999999999999E-2</v>
      </c>
      <c r="AA63" s="2">
        <v>0.21</v>
      </c>
      <c r="AB63" s="2">
        <v>0.182</v>
      </c>
      <c r="AC63" s="2">
        <v>0.35499999999999998</v>
      </c>
      <c r="AD63" s="67">
        <v>0.625</v>
      </c>
      <c r="AE63" s="2">
        <v>24</v>
      </c>
      <c r="AF63" s="2">
        <v>10</v>
      </c>
      <c r="AG63" s="2">
        <v>301</v>
      </c>
    </row>
    <row r="64" spans="1:33" x14ac:dyDescent="0.45">
      <c r="A64" s="1" t="s">
        <v>96</v>
      </c>
      <c r="B64" s="2">
        <v>16</v>
      </c>
      <c r="C64" s="2">
        <v>0.99099999999999999</v>
      </c>
      <c r="D64" s="2">
        <v>1.012</v>
      </c>
      <c r="E64" s="2">
        <v>-2.1000000000000001E-2</v>
      </c>
      <c r="F64" s="2">
        <v>47.7</v>
      </c>
      <c r="G64" s="2">
        <v>34.299999999999997</v>
      </c>
      <c r="H64" s="2">
        <v>18</v>
      </c>
      <c r="I64" s="2">
        <v>108.4</v>
      </c>
      <c r="J64" s="2">
        <v>34.5</v>
      </c>
      <c r="K64" s="2">
        <v>41.1</v>
      </c>
      <c r="L64" s="2">
        <v>50.9</v>
      </c>
      <c r="M64" s="2">
        <v>0.73299999999999998</v>
      </c>
      <c r="N64" s="2">
        <v>0.30499999999999999</v>
      </c>
      <c r="O64" s="2">
        <v>69.900000000000006</v>
      </c>
      <c r="P64" s="2">
        <v>0.91100000000000003</v>
      </c>
      <c r="Q64" s="2">
        <v>-4.7</v>
      </c>
      <c r="R64" s="2">
        <v>55.7</v>
      </c>
      <c r="S64" s="2">
        <v>28.1</v>
      </c>
      <c r="T64" s="25">
        <v>0.73499999999999999</v>
      </c>
      <c r="U64" s="2">
        <v>21</v>
      </c>
      <c r="V64" s="2">
        <v>31.8</v>
      </c>
      <c r="W64" s="2">
        <v>45.2</v>
      </c>
      <c r="X64" s="2">
        <v>4.2999999999999997E-2</v>
      </c>
      <c r="Y64" s="2">
        <v>48.7</v>
      </c>
      <c r="Z64" s="2">
        <v>8.4000000000000005E-2</v>
      </c>
      <c r="AA64" s="2">
        <v>0.189</v>
      </c>
      <c r="AB64" s="2">
        <v>0.153</v>
      </c>
      <c r="AC64" s="2">
        <v>0.26</v>
      </c>
      <c r="AD64" s="67">
        <v>0.77800000000000002</v>
      </c>
      <c r="AE64" s="2">
        <v>23</v>
      </c>
      <c r="AF64" s="2">
        <v>12</v>
      </c>
      <c r="AG64" s="2">
        <v>294</v>
      </c>
    </row>
    <row r="65" spans="1:33" s="15" customFormat="1" ht="14.65" thickBot="1" x14ac:dyDescent="0.5">
      <c r="A65" s="13" t="s">
        <v>74</v>
      </c>
      <c r="B65" s="41">
        <v>16</v>
      </c>
      <c r="C65" s="41">
        <v>1</v>
      </c>
      <c r="D65" s="41">
        <v>0.98099999999999998</v>
      </c>
      <c r="E65" s="41">
        <v>1.9E-2</v>
      </c>
      <c r="F65" s="41">
        <v>50.9</v>
      </c>
      <c r="G65" s="41">
        <v>30.4</v>
      </c>
      <c r="H65" s="41">
        <v>18.7</v>
      </c>
      <c r="I65" s="41">
        <v>103.1</v>
      </c>
      <c r="J65" s="41">
        <v>33.1</v>
      </c>
      <c r="K65" s="41">
        <v>36.6</v>
      </c>
      <c r="L65" s="41">
        <v>48.5</v>
      </c>
      <c r="M65" s="41">
        <v>0.67300000000000004</v>
      </c>
      <c r="N65" s="41">
        <v>0.33100000000000002</v>
      </c>
      <c r="O65" s="41">
        <v>69.599999999999994</v>
      </c>
      <c r="P65" s="41">
        <v>0.96799999999999997</v>
      </c>
      <c r="Q65" s="41">
        <v>0.5</v>
      </c>
      <c r="R65" s="41">
        <v>52.2</v>
      </c>
      <c r="S65" s="41">
        <v>28.4</v>
      </c>
      <c r="T65" s="61">
        <v>0.73199999999999998</v>
      </c>
      <c r="U65" s="41">
        <v>16.7</v>
      </c>
      <c r="V65" s="41">
        <v>33.1</v>
      </c>
      <c r="W65" s="41">
        <v>38.700000000000003</v>
      </c>
      <c r="X65" s="41">
        <v>7.1999999999999995E-2</v>
      </c>
      <c r="Y65" s="41">
        <v>47.6</v>
      </c>
      <c r="Z65" s="41">
        <v>8.8999999999999996E-2</v>
      </c>
      <c r="AA65" s="41">
        <v>0.16500000000000001</v>
      </c>
      <c r="AB65" s="41">
        <v>0.16500000000000001</v>
      </c>
      <c r="AC65" s="41">
        <v>0.33100000000000002</v>
      </c>
      <c r="AD65" s="68">
        <v>0.44400000000000001</v>
      </c>
      <c r="AE65" s="41">
        <v>22</v>
      </c>
      <c r="AF65" s="41">
        <v>11</v>
      </c>
      <c r="AG65" s="41">
        <v>359</v>
      </c>
    </row>
    <row r="66" spans="1:33" ht="18" x14ac:dyDescent="0.45">
      <c r="A66" s="16" t="s">
        <v>98</v>
      </c>
      <c r="B66" s="16"/>
      <c r="C66" s="16">
        <f t="shared" ref="C66:AD66" si="0">AVERAGE(C2:C65)</f>
        <v>1.1074531249999999</v>
      </c>
      <c r="D66" s="16">
        <f t="shared" si="0"/>
        <v>0.98684375000000024</v>
      </c>
      <c r="E66" s="16">
        <f t="shared" si="0"/>
        <v>0.11995312500000005</v>
      </c>
      <c r="F66" s="16">
        <f t="shared" si="0"/>
        <v>49.254687499999982</v>
      </c>
      <c r="G66" s="16">
        <f t="shared" si="0"/>
        <v>31.717187499999998</v>
      </c>
      <c r="H66" s="16">
        <f t="shared" si="0"/>
        <v>19.023437500000011</v>
      </c>
      <c r="I66" s="16">
        <f t="shared" si="0"/>
        <v>113.35937499999999</v>
      </c>
      <c r="J66" s="16">
        <f t="shared" si="0"/>
        <v>34.97187499999999</v>
      </c>
      <c r="K66" s="16">
        <f t="shared" si="0"/>
        <v>39.999999999999993</v>
      </c>
      <c r="L66" s="16">
        <f t="shared" si="0"/>
        <v>53.557812500000011</v>
      </c>
      <c r="M66" s="16"/>
      <c r="N66" s="16">
        <f t="shared" si="0"/>
        <v>0.34228125000000004</v>
      </c>
      <c r="O66" s="16">
        <f t="shared" si="0"/>
        <v>70.543750000000003</v>
      </c>
      <c r="P66" s="16">
        <f t="shared" si="0"/>
        <v>0.97676562500000008</v>
      </c>
      <c r="Q66" s="16">
        <f t="shared" si="0"/>
        <v>2.0750000000000002</v>
      </c>
      <c r="R66" s="16">
        <f t="shared" si="0"/>
        <v>59.474999999999994</v>
      </c>
      <c r="S66" s="16">
        <f t="shared" si="0"/>
        <v>30.568749999999991</v>
      </c>
      <c r="T66" s="27">
        <f t="shared" si="0"/>
        <v>0.73626562499999981</v>
      </c>
      <c r="U66" s="16">
        <f t="shared" si="0"/>
        <v>15.7578125</v>
      </c>
      <c r="V66" s="16">
        <f t="shared" si="0"/>
        <v>32.432812500000004</v>
      </c>
      <c r="W66" s="16">
        <f t="shared" si="0"/>
        <v>39.676562499999996</v>
      </c>
      <c r="X66" s="35">
        <f t="shared" si="0"/>
        <v>6.4515625000000021E-2</v>
      </c>
      <c r="Y66" s="16">
        <f t="shared" si="0"/>
        <v>48.699999999999989</v>
      </c>
      <c r="Z66" s="18">
        <f t="shared" si="0"/>
        <v>0.12407812499999998</v>
      </c>
      <c r="AA66" s="16">
        <f t="shared" si="0"/>
        <v>0.17537499999999998</v>
      </c>
      <c r="AB66" s="16">
        <f t="shared" si="0"/>
        <v>0.17421874999999998</v>
      </c>
      <c r="AC66" s="16">
        <f t="shared" si="0"/>
        <v>0.31545312500000006</v>
      </c>
      <c r="AD66" s="35">
        <f t="shared" si="0"/>
        <v>0.57299999999999995</v>
      </c>
      <c r="AE66" s="16"/>
      <c r="AF66" s="16"/>
      <c r="AG66" s="16"/>
    </row>
    <row r="67" spans="1:33" x14ac:dyDescent="0.4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</row>
    <row r="68" spans="1:33" ht="14.65" thickBot="1" x14ac:dyDescent="0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x14ac:dyDescent="0.45">
      <c r="A69" s="70" t="s">
        <v>94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2"/>
    </row>
    <row r="70" spans="1:33" ht="14.65" thickBot="1" x14ac:dyDescent="0.5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5"/>
    </row>
    <row r="71" spans="1:33" x14ac:dyDescent="0.45">
      <c r="A71" s="1" t="s">
        <v>14</v>
      </c>
      <c r="B71" s="2">
        <v>1</v>
      </c>
      <c r="C71" s="2">
        <v>1.1819999999999999</v>
      </c>
      <c r="D71" s="2">
        <v>0.98099999999999998</v>
      </c>
      <c r="E71" s="2">
        <v>0.20100000000000001</v>
      </c>
      <c r="F71" s="2">
        <v>48.8</v>
      </c>
      <c r="G71" s="2">
        <v>32.799999999999997</v>
      </c>
      <c r="H71" s="2">
        <v>18.3</v>
      </c>
      <c r="I71" s="2">
        <v>117.1</v>
      </c>
      <c r="J71" s="2">
        <v>36.799999999999997</v>
      </c>
      <c r="K71" s="2">
        <v>40.6</v>
      </c>
      <c r="L71" s="2">
        <v>55.7</v>
      </c>
      <c r="M71" s="2"/>
      <c r="N71" s="2">
        <v>0.33500000000000002</v>
      </c>
      <c r="O71" s="2">
        <v>70.900000000000006</v>
      </c>
      <c r="P71" s="2">
        <v>1.014</v>
      </c>
      <c r="Q71" s="2">
        <v>4.3</v>
      </c>
      <c r="R71" s="2">
        <v>60.5</v>
      </c>
      <c r="S71" s="2">
        <v>33.299999999999997</v>
      </c>
      <c r="T71" s="25">
        <v>0.73199999999999998</v>
      </c>
      <c r="U71" s="2">
        <v>13</v>
      </c>
      <c r="V71" s="2">
        <v>29.8</v>
      </c>
      <c r="W71" s="2">
        <v>35.299999999999997</v>
      </c>
      <c r="X71" s="2">
        <v>0.10199999999999999</v>
      </c>
      <c r="Y71" s="2">
        <v>46</v>
      </c>
      <c r="Z71" s="2">
        <v>9.5000000000000001E-2</v>
      </c>
      <c r="AA71" s="2">
        <v>0.13500000000000001</v>
      </c>
      <c r="AB71" s="2">
        <v>0.16800000000000001</v>
      </c>
      <c r="AC71" s="2">
        <v>0.39200000000000002</v>
      </c>
      <c r="AD71" s="67">
        <v>0.77800000000000002</v>
      </c>
      <c r="AE71" s="2">
        <v>28</v>
      </c>
      <c r="AF71" s="2">
        <v>5</v>
      </c>
      <c r="AG71" s="2">
        <v>3</v>
      </c>
    </row>
    <row r="72" spans="1:33" x14ac:dyDescent="0.45">
      <c r="A72" s="2" t="s">
        <v>75</v>
      </c>
      <c r="B72" s="2">
        <v>16</v>
      </c>
      <c r="C72" s="2">
        <v>1.0089999999999999</v>
      </c>
      <c r="D72" s="2">
        <v>1.02</v>
      </c>
      <c r="E72" s="2">
        <v>-1.0999999999999999E-2</v>
      </c>
      <c r="F72" s="2">
        <v>45.7</v>
      </c>
      <c r="G72" s="2">
        <v>36.6</v>
      </c>
      <c r="H72" s="2">
        <v>17.7</v>
      </c>
      <c r="I72" s="2">
        <v>100.2</v>
      </c>
      <c r="J72" s="2">
        <v>32.6</v>
      </c>
      <c r="K72" s="2">
        <v>42.7</v>
      </c>
      <c r="L72" s="2">
        <v>47</v>
      </c>
      <c r="M72" s="2"/>
      <c r="N72" s="2">
        <v>0.29099999999999998</v>
      </c>
      <c r="O72" s="2">
        <v>71.2</v>
      </c>
      <c r="P72" s="2">
        <v>1.002</v>
      </c>
      <c r="Q72" s="2">
        <v>4</v>
      </c>
      <c r="R72" s="2">
        <v>50.2</v>
      </c>
      <c r="S72" s="2">
        <v>25.6</v>
      </c>
      <c r="T72" s="25">
        <v>0.71299999999999997</v>
      </c>
      <c r="U72" s="2">
        <v>12.8</v>
      </c>
      <c r="V72" s="2">
        <v>33.700000000000003</v>
      </c>
      <c r="W72" s="2">
        <v>40.200000000000003</v>
      </c>
      <c r="X72" s="2">
        <v>0.05</v>
      </c>
      <c r="Y72" s="2">
        <v>50.7</v>
      </c>
      <c r="Z72" s="2">
        <v>0.109</v>
      </c>
      <c r="AA72" s="2">
        <v>0.17799999999999999</v>
      </c>
      <c r="AB72" s="2">
        <v>0.182</v>
      </c>
      <c r="AC72" s="2">
        <v>0.38900000000000001</v>
      </c>
      <c r="AD72" s="67">
        <v>0.75</v>
      </c>
      <c r="AE72" s="2">
        <v>20</v>
      </c>
      <c r="AF72" s="2">
        <v>15</v>
      </c>
      <c r="AG72" s="2">
        <v>318</v>
      </c>
    </row>
    <row r="73" spans="1:33" x14ac:dyDescent="0.4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</row>
    <row r="74" spans="1:33" x14ac:dyDescent="0.45">
      <c r="A74" s="1" t="s">
        <v>26</v>
      </c>
      <c r="B74" s="2">
        <v>1</v>
      </c>
      <c r="C74" s="2">
        <v>1.1779999999999999</v>
      </c>
      <c r="D74" s="2">
        <v>0.95499999999999996</v>
      </c>
      <c r="E74" s="2">
        <v>0.27100000000000002</v>
      </c>
      <c r="F74" s="2">
        <v>47</v>
      </c>
      <c r="G74" s="2">
        <v>34.799999999999997</v>
      </c>
      <c r="H74" s="2">
        <v>18.100000000000001</v>
      </c>
      <c r="I74" s="2">
        <v>116</v>
      </c>
      <c r="J74" s="2">
        <v>35.5</v>
      </c>
      <c r="K74" s="2">
        <v>43.6</v>
      </c>
      <c r="L74" s="2">
        <v>55</v>
      </c>
      <c r="M74" s="2"/>
      <c r="N74" s="2">
        <v>0.32600000000000001</v>
      </c>
      <c r="O74" s="2">
        <v>72.5</v>
      </c>
      <c r="P74" s="2">
        <v>1.022</v>
      </c>
      <c r="Q74" s="2">
        <v>3.7</v>
      </c>
      <c r="R74" s="2">
        <v>61.6</v>
      </c>
      <c r="S74" s="2">
        <v>36.9</v>
      </c>
      <c r="T74" s="25">
        <v>0.73099999999999998</v>
      </c>
      <c r="U74" s="2">
        <v>14.7</v>
      </c>
      <c r="V74" s="2">
        <v>29.4</v>
      </c>
      <c r="W74" s="2">
        <v>37.200000000000003</v>
      </c>
      <c r="X74" s="2">
        <v>7.2999999999999995E-2</v>
      </c>
      <c r="Y74" s="2">
        <v>45.3</v>
      </c>
      <c r="Z74" s="2">
        <v>0.104</v>
      </c>
      <c r="AA74" s="2">
        <v>0.155</v>
      </c>
      <c r="AB74" s="2">
        <v>0.16400000000000001</v>
      </c>
      <c r="AC74" s="2">
        <v>0.33</v>
      </c>
      <c r="AD74" s="67">
        <v>0.5</v>
      </c>
      <c r="AE74" s="2">
        <v>30</v>
      </c>
      <c r="AF74" s="2">
        <v>4</v>
      </c>
      <c r="AG74" s="2">
        <v>32</v>
      </c>
    </row>
    <row r="75" spans="1:33" x14ac:dyDescent="0.45">
      <c r="A75" s="1" t="s">
        <v>95</v>
      </c>
      <c r="B75" s="2">
        <v>16</v>
      </c>
      <c r="C75" s="2">
        <v>1.075</v>
      </c>
      <c r="D75" s="2">
        <v>1.0329999999999999</v>
      </c>
      <c r="E75" s="2">
        <v>4.2000000000000003E-2</v>
      </c>
      <c r="F75" s="2">
        <v>59.2</v>
      </c>
      <c r="G75" s="2">
        <v>19.100000000000001</v>
      </c>
      <c r="H75" s="2">
        <v>21.7</v>
      </c>
      <c r="I75" s="2">
        <v>112.8</v>
      </c>
      <c r="J75" s="2">
        <v>30.8</v>
      </c>
      <c r="K75" s="2">
        <v>27.6</v>
      </c>
      <c r="L75" s="2">
        <v>52.2</v>
      </c>
      <c r="M75" s="2"/>
      <c r="N75" s="2">
        <v>0.38400000000000001</v>
      </c>
      <c r="O75" s="2">
        <v>69.5</v>
      </c>
      <c r="P75" s="2">
        <v>0.94199999999999995</v>
      </c>
      <c r="Q75" s="2">
        <v>-2.2999999999999998</v>
      </c>
      <c r="R75" s="2">
        <v>60.2</v>
      </c>
      <c r="S75" s="2">
        <v>29.8</v>
      </c>
      <c r="T75" s="25">
        <v>0.66400000000000003</v>
      </c>
      <c r="U75" s="2">
        <v>17.8</v>
      </c>
      <c r="V75" s="2">
        <v>33.799999999999997</v>
      </c>
      <c r="W75" s="2">
        <v>43.1</v>
      </c>
      <c r="X75" s="2">
        <v>5.0999999999999997E-2</v>
      </c>
      <c r="Y75" s="2">
        <v>50</v>
      </c>
      <c r="Z75" s="2">
        <v>9.2999999999999999E-2</v>
      </c>
      <c r="AA75" s="2">
        <v>0.21</v>
      </c>
      <c r="AB75" s="2">
        <v>0.182</v>
      </c>
      <c r="AC75" s="2">
        <v>0.35499999999999998</v>
      </c>
      <c r="AD75" s="67">
        <v>0.625</v>
      </c>
      <c r="AE75" s="2">
        <v>24</v>
      </c>
      <c r="AF75" s="2">
        <v>10</v>
      </c>
      <c r="AG75" s="2">
        <v>301</v>
      </c>
    </row>
    <row r="76" spans="1:33" x14ac:dyDescent="0.4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</row>
    <row r="77" spans="1:33" s="15" customFormat="1" ht="14.65" thickBot="1" x14ac:dyDescent="0.5">
      <c r="A77" s="1" t="s">
        <v>39</v>
      </c>
      <c r="B77" s="1">
        <v>1</v>
      </c>
      <c r="C77" s="1">
        <v>1.2110000000000001</v>
      </c>
      <c r="D77" s="1">
        <v>0.90700000000000003</v>
      </c>
      <c r="E77" s="1">
        <v>0.30399999999999999</v>
      </c>
      <c r="F77" s="1">
        <v>45.1</v>
      </c>
      <c r="G77" s="1">
        <v>36.9</v>
      </c>
      <c r="H77" s="1">
        <v>18</v>
      </c>
      <c r="I77" s="1">
        <v>123</v>
      </c>
      <c r="J77" s="1">
        <v>37.700000000000003</v>
      </c>
      <c r="K77" s="1">
        <v>45.4</v>
      </c>
      <c r="L77" s="1">
        <v>57.4</v>
      </c>
      <c r="M77" s="1"/>
      <c r="N77" s="1">
        <v>0.32100000000000001</v>
      </c>
      <c r="O77" s="1">
        <v>68.3</v>
      </c>
      <c r="P77" s="1">
        <v>1.004</v>
      </c>
      <c r="Q77" s="1">
        <v>3.8</v>
      </c>
      <c r="R77" s="1">
        <v>64.400000000000006</v>
      </c>
      <c r="S77" s="1">
        <v>34.1</v>
      </c>
      <c r="T77" s="28">
        <v>0.76300000000000001</v>
      </c>
      <c r="U77" s="1">
        <v>14</v>
      </c>
      <c r="V77" s="1">
        <v>31.1</v>
      </c>
      <c r="W77" s="1">
        <v>38.299999999999997</v>
      </c>
      <c r="X77" s="1">
        <v>6.7000000000000004E-2</v>
      </c>
      <c r="Y77" s="1">
        <v>44.5</v>
      </c>
      <c r="Z77" s="1">
        <v>9.9000000000000005E-2</v>
      </c>
      <c r="AA77" s="1">
        <v>0.16600000000000001</v>
      </c>
      <c r="AB77" s="1">
        <v>0.16700000000000001</v>
      </c>
      <c r="AC77" s="1">
        <v>0.254</v>
      </c>
      <c r="AD77" s="69">
        <v>0.33300000000000002</v>
      </c>
      <c r="AE77" s="1">
        <v>31</v>
      </c>
      <c r="AF77" s="1">
        <v>3</v>
      </c>
      <c r="AG77" s="1">
        <v>37</v>
      </c>
    </row>
    <row r="78" spans="1:33" x14ac:dyDescent="0.45">
      <c r="A78" s="1" t="s">
        <v>96</v>
      </c>
      <c r="B78" s="1">
        <v>16</v>
      </c>
      <c r="C78" s="1">
        <v>0.99099999999999999</v>
      </c>
      <c r="D78" s="1">
        <v>1.012</v>
      </c>
      <c r="E78" s="1">
        <v>-2.1000000000000001E-2</v>
      </c>
      <c r="F78" s="1">
        <v>47.7</v>
      </c>
      <c r="G78" s="1">
        <v>34.299999999999997</v>
      </c>
      <c r="H78" s="1">
        <v>18</v>
      </c>
      <c r="I78" s="1">
        <v>108.4</v>
      </c>
      <c r="J78" s="1">
        <v>34.5</v>
      </c>
      <c r="K78" s="1">
        <v>41.1</v>
      </c>
      <c r="L78" s="1">
        <v>50.9</v>
      </c>
      <c r="M78" s="1"/>
      <c r="N78" s="1">
        <v>0.30499999999999999</v>
      </c>
      <c r="O78" s="1">
        <v>69.900000000000006</v>
      </c>
      <c r="P78" s="1">
        <v>0.91100000000000003</v>
      </c>
      <c r="Q78" s="1">
        <v>-4.7</v>
      </c>
      <c r="R78" s="1">
        <v>55.7</v>
      </c>
      <c r="S78" s="1">
        <v>28.1</v>
      </c>
      <c r="T78" s="28">
        <v>0.73499999999999999</v>
      </c>
      <c r="U78" s="1">
        <v>21</v>
      </c>
      <c r="V78" s="1">
        <v>31.8</v>
      </c>
      <c r="W78" s="1">
        <v>45.2</v>
      </c>
      <c r="X78" s="1">
        <v>4.2999999999999997E-2</v>
      </c>
      <c r="Y78" s="1">
        <v>48.7</v>
      </c>
      <c r="Z78" s="1">
        <v>8.4000000000000005E-2</v>
      </c>
      <c r="AA78" s="1">
        <v>0.189</v>
      </c>
      <c r="AB78" s="1">
        <v>0.153</v>
      </c>
      <c r="AC78" s="1">
        <v>0.26</v>
      </c>
      <c r="AD78" s="69">
        <v>0.77800000000000002</v>
      </c>
      <c r="AE78" s="1">
        <v>23</v>
      </c>
      <c r="AF78" s="1">
        <v>12</v>
      </c>
      <c r="AG78" s="1">
        <v>294</v>
      </c>
    </row>
    <row r="79" spans="1:33" x14ac:dyDescent="0.4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</row>
    <row r="80" spans="1:33" x14ac:dyDescent="0.45">
      <c r="A80" s="1" t="s">
        <v>51</v>
      </c>
      <c r="B80" s="2">
        <v>1</v>
      </c>
      <c r="C80" s="2">
        <v>1.131</v>
      </c>
      <c r="D80" s="2">
        <v>0.89100000000000001</v>
      </c>
      <c r="E80" s="2">
        <v>0.24</v>
      </c>
      <c r="F80" s="2">
        <v>50.7</v>
      </c>
      <c r="G80" s="2">
        <v>32.700000000000003</v>
      </c>
      <c r="H80" s="2">
        <v>16.600000000000001</v>
      </c>
      <c r="I80" s="2">
        <v>111.2</v>
      </c>
      <c r="J80" s="2">
        <v>39.799999999999997</v>
      </c>
      <c r="K80" s="2">
        <v>34.5</v>
      </c>
      <c r="L80" s="2">
        <v>52.7</v>
      </c>
      <c r="M80" s="2"/>
      <c r="N80" s="2">
        <v>0.28199999999999997</v>
      </c>
      <c r="O80" s="2">
        <v>65.599999999999994</v>
      </c>
      <c r="P80" s="2">
        <v>1.026</v>
      </c>
      <c r="Q80" s="2">
        <v>8.1999999999999993</v>
      </c>
      <c r="R80" s="2">
        <v>52.3</v>
      </c>
      <c r="S80" s="2">
        <v>35.700000000000003</v>
      </c>
      <c r="T80" s="25">
        <v>0.753</v>
      </c>
      <c r="U80" s="2">
        <v>14.2</v>
      </c>
      <c r="V80" s="2">
        <v>30.2</v>
      </c>
      <c r="W80" s="2">
        <v>43.4</v>
      </c>
      <c r="X80" s="2">
        <v>0.09</v>
      </c>
      <c r="Y80" s="2">
        <v>44.9</v>
      </c>
      <c r="Z80" s="2">
        <v>0.122</v>
      </c>
      <c r="AA80" s="2">
        <v>0.16800000000000001</v>
      </c>
      <c r="AB80" s="2">
        <v>0.20899999999999999</v>
      </c>
      <c r="AC80" s="2">
        <v>0.34100000000000003</v>
      </c>
      <c r="AD80" s="67">
        <v>0.42899999999999999</v>
      </c>
      <c r="AE80" s="2">
        <v>30</v>
      </c>
      <c r="AF80" s="2">
        <v>4</v>
      </c>
      <c r="AG80" s="2">
        <v>9</v>
      </c>
    </row>
    <row r="81" spans="1:33" s="15" customFormat="1" ht="14.65" thickBot="1" x14ac:dyDescent="0.5">
      <c r="A81" s="13" t="s">
        <v>74</v>
      </c>
      <c r="B81" s="41">
        <v>16</v>
      </c>
      <c r="C81" s="41">
        <v>1</v>
      </c>
      <c r="D81" s="41">
        <v>0.98099999999999998</v>
      </c>
      <c r="E81" s="41">
        <v>1.9E-2</v>
      </c>
      <c r="F81" s="41">
        <v>50.9</v>
      </c>
      <c r="G81" s="41">
        <v>30.4</v>
      </c>
      <c r="H81" s="41">
        <v>18.7</v>
      </c>
      <c r="I81" s="41">
        <v>103.1</v>
      </c>
      <c r="J81" s="41">
        <v>33.1</v>
      </c>
      <c r="K81" s="41">
        <v>36.6</v>
      </c>
      <c r="L81" s="41">
        <v>48.5</v>
      </c>
      <c r="M81" s="41"/>
      <c r="N81" s="41">
        <v>0.33100000000000002</v>
      </c>
      <c r="O81" s="41">
        <v>69.599999999999994</v>
      </c>
      <c r="P81" s="41">
        <v>0.96799999999999997</v>
      </c>
      <c r="Q81" s="41">
        <v>0.5</v>
      </c>
      <c r="R81" s="41">
        <v>52.2</v>
      </c>
      <c r="S81" s="41">
        <v>28.4</v>
      </c>
      <c r="T81" s="61">
        <v>0.73199999999999998</v>
      </c>
      <c r="U81" s="41">
        <v>16.7</v>
      </c>
      <c r="V81" s="41">
        <v>33.1</v>
      </c>
      <c r="W81" s="41">
        <v>38.700000000000003</v>
      </c>
      <c r="X81" s="41">
        <v>7.1999999999999995E-2</v>
      </c>
      <c r="Y81" s="41">
        <v>47.6</v>
      </c>
      <c r="Z81" s="41">
        <v>8.8999999999999996E-2</v>
      </c>
      <c r="AA81" s="41">
        <v>0.16500000000000001</v>
      </c>
      <c r="AB81" s="41">
        <v>0.16500000000000001</v>
      </c>
      <c r="AC81" s="41">
        <v>0.33100000000000002</v>
      </c>
      <c r="AD81" s="68">
        <v>0.44400000000000001</v>
      </c>
      <c r="AE81" s="41">
        <v>22</v>
      </c>
      <c r="AF81" s="41">
        <v>11</v>
      </c>
      <c r="AG81" s="41">
        <v>359</v>
      </c>
    </row>
    <row r="82" spans="1:33" x14ac:dyDescent="0.4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</row>
    <row r="83" spans="1:33" x14ac:dyDescent="0.45">
      <c r="A83" s="1" t="s">
        <v>24</v>
      </c>
      <c r="B83" s="2">
        <v>2</v>
      </c>
      <c r="C83" s="2">
        <v>1.1020000000000001</v>
      </c>
      <c r="D83" s="2">
        <v>0.94799999999999995</v>
      </c>
      <c r="E83" s="2">
        <v>0.154</v>
      </c>
      <c r="F83" s="2">
        <v>54.5</v>
      </c>
      <c r="G83" s="2">
        <v>23.1</v>
      </c>
      <c r="H83" s="2">
        <v>22.4</v>
      </c>
      <c r="I83" s="2">
        <v>111.5</v>
      </c>
      <c r="J83" s="2">
        <v>30.8</v>
      </c>
      <c r="K83" s="2">
        <v>32.700000000000003</v>
      </c>
      <c r="L83" s="2">
        <v>51.2</v>
      </c>
      <c r="M83" s="2"/>
      <c r="N83" s="2">
        <v>0.378</v>
      </c>
      <c r="O83" s="2">
        <v>70.900000000000006</v>
      </c>
      <c r="P83" s="2">
        <v>0.98699999999999999</v>
      </c>
      <c r="Q83" s="2">
        <v>2.7</v>
      </c>
      <c r="R83" s="2">
        <v>57.8</v>
      </c>
      <c r="S83" s="2">
        <v>33.700000000000003</v>
      </c>
      <c r="T83" s="25">
        <v>0.77100000000000002</v>
      </c>
      <c r="U83" s="2">
        <v>16.3</v>
      </c>
      <c r="V83" s="2">
        <v>28</v>
      </c>
      <c r="W83" s="2">
        <v>40.700000000000003</v>
      </c>
      <c r="X83" s="2">
        <v>7.8E-2</v>
      </c>
      <c r="Y83" s="2">
        <v>46.1</v>
      </c>
      <c r="Z83" s="2">
        <v>7.6999999999999999E-2</v>
      </c>
      <c r="AA83" s="2">
        <v>0.17399999999999999</v>
      </c>
      <c r="AB83" s="2">
        <v>0.159</v>
      </c>
      <c r="AC83" s="2">
        <v>0.33100000000000002</v>
      </c>
      <c r="AD83" s="67">
        <v>0.57099999999999995</v>
      </c>
      <c r="AE83" s="2">
        <v>27</v>
      </c>
      <c r="AF83" s="2">
        <v>6</v>
      </c>
      <c r="AG83" s="2">
        <v>19</v>
      </c>
    </row>
    <row r="84" spans="1:33" s="15" customFormat="1" ht="14.65" thickBot="1" x14ac:dyDescent="0.5">
      <c r="A84" s="13" t="s">
        <v>25</v>
      </c>
      <c r="B84" s="41">
        <v>15</v>
      </c>
      <c r="C84" s="41">
        <v>1.0589999999999999</v>
      </c>
      <c r="D84" s="41">
        <v>0.99399999999999999</v>
      </c>
      <c r="E84" s="41">
        <v>6.5000000000000002E-2</v>
      </c>
      <c r="F84" s="41">
        <v>54.5</v>
      </c>
      <c r="G84" s="41">
        <v>28</v>
      </c>
      <c r="H84" s="41">
        <v>17.399999999999999</v>
      </c>
      <c r="I84" s="41">
        <v>107.4</v>
      </c>
      <c r="J84" s="41">
        <v>33</v>
      </c>
      <c r="K84" s="41">
        <v>34.799999999999997</v>
      </c>
      <c r="L84" s="41">
        <v>50.7</v>
      </c>
      <c r="M84" s="41"/>
      <c r="N84" s="41">
        <v>0.29899999999999999</v>
      </c>
      <c r="O84" s="41">
        <v>75.400000000000006</v>
      </c>
      <c r="P84" s="41">
        <v>0.995</v>
      </c>
      <c r="Q84" s="41">
        <v>2.8</v>
      </c>
      <c r="R84" s="41">
        <v>54.4</v>
      </c>
      <c r="S84" s="41">
        <v>32.799999999999997</v>
      </c>
      <c r="T84" s="61">
        <v>0.74299999999999999</v>
      </c>
      <c r="U84" s="41">
        <v>15.9</v>
      </c>
      <c r="V84" s="41">
        <v>32.5</v>
      </c>
      <c r="W84" s="41">
        <v>36.1</v>
      </c>
      <c r="X84" s="41">
        <v>9.4E-2</v>
      </c>
      <c r="Y84" s="41">
        <v>47.8</v>
      </c>
      <c r="Z84" s="41">
        <v>8.6999999999999994E-2</v>
      </c>
      <c r="AA84" s="41">
        <v>0.154</v>
      </c>
      <c r="AB84" s="41">
        <v>0.159</v>
      </c>
      <c r="AC84" s="41">
        <v>0.3</v>
      </c>
      <c r="AD84" s="68">
        <v>0.36399999999999999</v>
      </c>
      <c r="AE84" s="41">
        <v>23</v>
      </c>
      <c r="AF84" s="41">
        <v>11</v>
      </c>
      <c r="AG84" s="41">
        <v>276</v>
      </c>
    </row>
    <row r="85" spans="1:33" x14ac:dyDescent="0.4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</row>
    <row r="86" spans="1:33" x14ac:dyDescent="0.45">
      <c r="A86" s="2" t="s">
        <v>49</v>
      </c>
      <c r="B86" s="2">
        <v>2</v>
      </c>
      <c r="C86" s="2">
        <v>1.1559999999999999</v>
      </c>
      <c r="D86" s="2">
        <v>1.0329999999999999</v>
      </c>
      <c r="E86" s="2">
        <v>0.123</v>
      </c>
      <c r="F86" s="2">
        <v>45.1</v>
      </c>
      <c r="G86" s="2">
        <v>34.799999999999997</v>
      </c>
      <c r="H86" s="2">
        <v>20.100000000000001</v>
      </c>
      <c r="I86" s="2">
        <v>120</v>
      </c>
      <c r="J86" s="2">
        <v>35</v>
      </c>
      <c r="K86" s="2">
        <v>46.2</v>
      </c>
      <c r="L86" s="2">
        <v>56.4</v>
      </c>
      <c r="M86" s="2"/>
      <c r="N86" s="2">
        <v>0.40100000000000002</v>
      </c>
      <c r="O86" s="2">
        <v>78.8</v>
      </c>
      <c r="P86" s="2">
        <v>0.97399999999999998</v>
      </c>
      <c r="Q86" s="2">
        <v>-2.4</v>
      </c>
      <c r="R86" s="2">
        <v>68.5</v>
      </c>
      <c r="S86" s="2">
        <v>32.700000000000003</v>
      </c>
      <c r="T86" s="25">
        <v>0.73099999999999998</v>
      </c>
      <c r="U86" s="2">
        <v>16.2</v>
      </c>
      <c r="V86" s="2">
        <v>30.4</v>
      </c>
      <c r="W86" s="2">
        <v>34.6</v>
      </c>
      <c r="X86" s="2">
        <v>6.6000000000000003E-2</v>
      </c>
      <c r="Y86" s="2">
        <v>47.9</v>
      </c>
      <c r="Z86" s="2">
        <v>7.6999999999999999E-2</v>
      </c>
      <c r="AA86" s="2">
        <v>0.16300000000000001</v>
      </c>
      <c r="AB86" s="2">
        <v>0.13</v>
      </c>
      <c r="AC86" s="2">
        <v>0.33900000000000002</v>
      </c>
      <c r="AD86" s="67">
        <v>0.66700000000000004</v>
      </c>
      <c r="AE86" s="2">
        <v>25</v>
      </c>
      <c r="AF86" s="2">
        <v>8</v>
      </c>
      <c r="AG86" s="2">
        <v>1</v>
      </c>
    </row>
    <row r="87" spans="1:33" x14ac:dyDescent="0.45">
      <c r="A87" s="1" t="s">
        <v>50</v>
      </c>
      <c r="B87" s="2">
        <v>15</v>
      </c>
      <c r="C87" s="2">
        <v>1.073</v>
      </c>
      <c r="D87" s="2">
        <v>0.999</v>
      </c>
      <c r="E87" s="2">
        <v>7.3999999999999996E-2</v>
      </c>
      <c r="F87" s="2">
        <v>49.6</v>
      </c>
      <c r="G87" s="2">
        <v>29.5</v>
      </c>
      <c r="H87" s="2">
        <v>20.9</v>
      </c>
      <c r="I87" s="2">
        <v>109.7</v>
      </c>
      <c r="J87" s="2">
        <v>34.6</v>
      </c>
      <c r="K87" s="2">
        <v>36.700000000000003</v>
      </c>
      <c r="L87" s="2">
        <v>51.2</v>
      </c>
      <c r="M87" s="2"/>
      <c r="N87" s="2">
        <v>0.376</v>
      </c>
      <c r="O87" s="2">
        <v>71.7</v>
      </c>
      <c r="P87" s="2">
        <v>0.97699999999999998</v>
      </c>
      <c r="Q87" s="2">
        <v>3.7</v>
      </c>
      <c r="R87" s="2">
        <v>56</v>
      </c>
      <c r="S87" s="2">
        <v>34.700000000000003</v>
      </c>
      <c r="T87" s="25">
        <v>0.745</v>
      </c>
      <c r="U87" s="2">
        <v>17.8</v>
      </c>
      <c r="V87" s="2">
        <v>34</v>
      </c>
      <c r="W87" s="2">
        <v>35.6</v>
      </c>
      <c r="X87" s="2">
        <v>7.6999999999999999E-2</v>
      </c>
      <c r="Y87" s="2">
        <v>50.7</v>
      </c>
      <c r="Z87" s="2">
        <v>0.09</v>
      </c>
      <c r="AA87" s="2">
        <v>0.189</v>
      </c>
      <c r="AB87" s="2">
        <v>0.183</v>
      </c>
      <c r="AC87" s="2">
        <v>0.30299999999999999</v>
      </c>
      <c r="AD87" s="67">
        <v>0.66700000000000004</v>
      </c>
      <c r="AE87" s="2">
        <v>26</v>
      </c>
      <c r="AF87" s="2">
        <v>8</v>
      </c>
      <c r="AG87" s="2">
        <v>280</v>
      </c>
    </row>
    <row r="88" spans="1:33" x14ac:dyDescent="0.4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</row>
    <row r="89" spans="1:33" s="15" customFormat="1" ht="14.65" thickBot="1" x14ac:dyDescent="0.5">
      <c r="A89" s="13" t="s">
        <v>61</v>
      </c>
      <c r="B89" s="41">
        <v>2</v>
      </c>
      <c r="C89" s="41">
        <v>1.1060000000000001</v>
      </c>
      <c r="D89" s="41">
        <v>0.93200000000000005</v>
      </c>
      <c r="E89" s="41">
        <v>0.17399999999999999</v>
      </c>
      <c r="F89" s="41">
        <v>46.2</v>
      </c>
      <c r="G89" s="41">
        <v>33.9</v>
      </c>
      <c r="H89" s="41">
        <v>20</v>
      </c>
      <c r="I89" s="41">
        <v>113.2</v>
      </c>
      <c r="J89" s="41">
        <v>34</v>
      </c>
      <c r="K89" s="41">
        <v>43</v>
      </c>
      <c r="L89" s="41">
        <v>52.8</v>
      </c>
      <c r="M89" s="41"/>
      <c r="N89" s="41">
        <v>0.35399999999999998</v>
      </c>
      <c r="O89" s="41">
        <v>67.599999999999994</v>
      </c>
      <c r="P89" s="41">
        <v>0.98699999999999999</v>
      </c>
      <c r="Q89" s="41">
        <v>2.4</v>
      </c>
      <c r="R89" s="41">
        <v>59.3</v>
      </c>
      <c r="S89" s="41">
        <v>33.6</v>
      </c>
      <c r="T89" s="61">
        <v>0.73699999999999999</v>
      </c>
      <c r="U89" s="41">
        <v>15.5</v>
      </c>
      <c r="V89" s="41">
        <v>28.7</v>
      </c>
      <c r="W89" s="41">
        <v>44.6</v>
      </c>
      <c r="X89" s="41">
        <v>8.4000000000000005E-2</v>
      </c>
      <c r="Y89" s="41">
        <v>44.4</v>
      </c>
      <c r="Z89" s="41">
        <v>0.104</v>
      </c>
      <c r="AA89" s="41">
        <v>0.151</v>
      </c>
      <c r="AB89" s="41">
        <v>0.17299999999999999</v>
      </c>
      <c r="AC89" s="41">
        <v>0.29399999999999998</v>
      </c>
      <c r="AD89" s="68">
        <v>0.6</v>
      </c>
      <c r="AE89" s="41">
        <v>27</v>
      </c>
      <c r="AF89" s="41">
        <v>7</v>
      </c>
      <c r="AG89" s="41">
        <v>17</v>
      </c>
    </row>
    <row r="90" spans="1:33" x14ac:dyDescent="0.45">
      <c r="A90" s="1" t="s">
        <v>62</v>
      </c>
      <c r="B90" s="2">
        <v>15</v>
      </c>
      <c r="C90" s="2">
        <v>1.0980000000000001</v>
      </c>
      <c r="D90" s="2">
        <v>1.0649999999999999</v>
      </c>
      <c r="E90" s="2">
        <v>3.3000000000000002E-2</v>
      </c>
      <c r="F90" s="2">
        <v>44.7</v>
      </c>
      <c r="G90" s="2">
        <v>39.200000000000003</v>
      </c>
      <c r="H90" s="2">
        <v>16.100000000000001</v>
      </c>
      <c r="I90" s="2">
        <v>110.8</v>
      </c>
      <c r="J90" s="2">
        <v>34.799999999999997</v>
      </c>
      <c r="K90" s="2">
        <v>47.7</v>
      </c>
      <c r="L90" s="2">
        <v>53.2</v>
      </c>
      <c r="M90" s="2"/>
      <c r="N90" s="2">
        <v>0.30599999999999999</v>
      </c>
      <c r="O90" s="2">
        <v>66.5</v>
      </c>
      <c r="P90" s="2">
        <v>0.99099999999999999</v>
      </c>
      <c r="Q90" s="2">
        <v>1.6</v>
      </c>
      <c r="R90" s="2">
        <v>60.1</v>
      </c>
      <c r="S90" s="2">
        <v>33.6</v>
      </c>
      <c r="T90" s="25">
        <v>0.75600000000000001</v>
      </c>
      <c r="U90" s="2">
        <v>16.5</v>
      </c>
      <c r="V90" s="2">
        <v>34.5</v>
      </c>
      <c r="W90" s="2">
        <v>46</v>
      </c>
      <c r="X90" s="2">
        <v>4.7E-2</v>
      </c>
      <c r="Y90" s="2">
        <v>51.9</v>
      </c>
      <c r="Z90" s="2">
        <v>0.82</v>
      </c>
      <c r="AA90" s="2">
        <v>0.18</v>
      </c>
      <c r="AB90" s="2">
        <v>0.14399999999999999</v>
      </c>
      <c r="AC90" s="2">
        <v>0.36399999999999999</v>
      </c>
      <c r="AD90" s="67">
        <v>0.3</v>
      </c>
      <c r="AE90" s="2">
        <v>19</v>
      </c>
      <c r="AF90" s="2">
        <v>15</v>
      </c>
      <c r="AG90" s="2">
        <v>162</v>
      </c>
    </row>
    <row r="91" spans="1:33" x14ac:dyDescent="0.4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</row>
    <row r="92" spans="1:33" x14ac:dyDescent="0.45">
      <c r="A92" s="1" t="s">
        <v>37</v>
      </c>
      <c r="B92" s="2">
        <v>2</v>
      </c>
      <c r="C92" s="2">
        <v>1.069</v>
      </c>
      <c r="D92" s="2">
        <v>0.89500000000000002</v>
      </c>
      <c r="E92" s="2">
        <v>0.17399999999999999</v>
      </c>
      <c r="F92" s="2">
        <v>59</v>
      </c>
      <c r="G92" s="2">
        <v>23.5</v>
      </c>
      <c r="H92" s="2">
        <v>17.600000000000001</v>
      </c>
      <c r="I92" s="2">
        <v>104.4</v>
      </c>
      <c r="J92" s="2">
        <v>30.4</v>
      </c>
      <c r="K92" s="2">
        <v>30.3</v>
      </c>
      <c r="L92" s="2">
        <v>49.7</v>
      </c>
      <c r="M92" s="2"/>
      <c r="N92" s="2">
        <v>0.30199999999999999</v>
      </c>
      <c r="O92" s="2">
        <v>73.599999999999994</v>
      </c>
      <c r="P92" s="2">
        <v>1.0229999999999999</v>
      </c>
      <c r="Q92" s="2">
        <v>7.8</v>
      </c>
      <c r="R92" s="2">
        <v>55.7</v>
      </c>
      <c r="S92" s="2">
        <v>35.5</v>
      </c>
      <c r="T92" s="25">
        <v>0.72799999999999998</v>
      </c>
      <c r="U92" s="2">
        <v>15.1</v>
      </c>
      <c r="V92" s="2">
        <v>30.6</v>
      </c>
      <c r="W92" s="2">
        <v>40.799999999999997</v>
      </c>
      <c r="X92" s="2">
        <v>8.7999999999999995E-2</v>
      </c>
      <c r="Y92" s="2">
        <v>46.6</v>
      </c>
      <c r="Z92" s="2">
        <v>0.121</v>
      </c>
      <c r="AA92" s="2">
        <v>0.17499999999999999</v>
      </c>
      <c r="AB92" s="2">
        <v>0.20899999999999999</v>
      </c>
      <c r="AC92" s="2">
        <v>0.30399999999999999</v>
      </c>
      <c r="AD92" s="67">
        <v>0.5</v>
      </c>
      <c r="AE92" s="2">
        <v>30</v>
      </c>
      <c r="AF92" s="2">
        <v>4</v>
      </c>
      <c r="AG92" s="2">
        <v>40</v>
      </c>
    </row>
    <row r="93" spans="1:33" x14ac:dyDescent="0.45">
      <c r="A93" s="2" t="s">
        <v>38</v>
      </c>
      <c r="B93" s="2">
        <v>15</v>
      </c>
      <c r="C93" s="2">
        <v>1.091</v>
      </c>
      <c r="D93" s="2">
        <v>1.08</v>
      </c>
      <c r="E93" s="2">
        <v>1.0999999999999999E-2</v>
      </c>
      <c r="F93" s="2">
        <v>48.2</v>
      </c>
      <c r="G93" s="2">
        <v>31.8</v>
      </c>
      <c r="H93" s="2">
        <v>20</v>
      </c>
      <c r="I93" s="2">
        <v>112.3</v>
      </c>
      <c r="J93" s="2">
        <v>35.6</v>
      </c>
      <c r="K93" s="2">
        <v>39.1</v>
      </c>
      <c r="L93" s="2">
        <v>52.6</v>
      </c>
      <c r="M93" s="2"/>
      <c r="N93" s="2">
        <v>0.36</v>
      </c>
      <c r="O93" s="2">
        <v>70.599999999999994</v>
      </c>
      <c r="P93" s="2">
        <v>0.97299999999999998</v>
      </c>
      <c r="Q93" s="2">
        <v>1.4</v>
      </c>
      <c r="R93" s="2">
        <v>57</v>
      </c>
      <c r="S93" s="2">
        <v>28.3</v>
      </c>
      <c r="T93" s="25">
        <v>0.77400000000000002</v>
      </c>
      <c r="U93" s="2">
        <v>15.2</v>
      </c>
      <c r="V93" s="2">
        <v>35.200000000000003</v>
      </c>
      <c r="W93" s="2">
        <v>45</v>
      </c>
      <c r="X93" s="2">
        <v>3.9E-2</v>
      </c>
      <c r="Y93" s="2">
        <v>53.2</v>
      </c>
      <c r="Z93" s="2">
        <v>0.82</v>
      </c>
      <c r="AA93" s="2">
        <v>0.192</v>
      </c>
      <c r="AB93" s="2">
        <v>0.14499999999999999</v>
      </c>
      <c r="AC93" s="2">
        <v>0.372</v>
      </c>
      <c r="AD93" s="67">
        <v>0.66700000000000004</v>
      </c>
      <c r="AE93" s="2">
        <v>22</v>
      </c>
      <c r="AF93" s="2">
        <v>12</v>
      </c>
      <c r="AG93" s="2">
        <v>223</v>
      </c>
    </row>
    <row r="94" spans="1:33" x14ac:dyDescent="0.4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</row>
    <row r="95" spans="1:33" x14ac:dyDescent="0.45">
      <c r="A95" s="2" t="s">
        <v>58</v>
      </c>
      <c r="B95" s="2">
        <v>3</v>
      </c>
      <c r="C95" s="2">
        <v>1.1459999999999999</v>
      </c>
      <c r="D95" s="2">
        <v>1.046</v>
      </c>
      <c r="E95" s="2">
        <v>0.1</v>
      </c>
      <c r="F95" s="2">
        <v>47.4</v>
      </c>
      <c r="G95" s="2">
        <v>33.799999999999997</v>
      </c>
      <c r="H95" s="2">
        <v>18.8</v>
      </c>
      <c r="I95" s="2">
        <v>117.9</v>
      </c>
      <c r="J95" s="2">
        <v>37.4</v>
      </c>
      <c r="K95" s="2">
        <v>41.7</v>
      </c>
      <c r="L95" s="2">
        <v>56</v>
      </c>
      <c r="M95" s="2"/>
      <c r="N95" s="2">
        <v>0.35899999999999999</v>
      </c>
      <c r="O95" s="2">
        <v>74.400000000000006</v>
      </c>
      <c r="P95" s="2">
        <v>0.96799999999999997</v>
      </c>
      <c r="Q95" s="2">
        <v>-0.6</v>
      </c>
      <c r="R95" s="2">
        <v>60.6</v>
      </c>
      <c r="S95" s="2">
        <v>27</v>
      </c>
      <c r="T95" s="25">
        <v>0.748</v>
      </c>
      <c r="U95" s="2">
        <v>14.9</v>
      </c>
      <c r="V95" s="2">
        <v>30.5</v>
      </c>
      <c r="W95" s="2">
        <v>43.7</v>
      </c>
      <c r="X95" s="2">
        <v>6.4000000000000001E-2</v>
      </c>
      <c r="Y95" s="2">
        <v>50.4</v>
      </c>
      <c r="Z95" s="2">
        <v>9.2999999999999999E-2</v>
      </c>
      <c r="AA95" s="2">
        <v>0.17199999999999999</v>
      </c>
      <c r="AB95" s="2">
        <v>0.13900000000000001</v>
      </c>
      <c r="AC95" s="2">
        <v>0.31</v>
      </c>
      <c r="AD95" s="67">
        <v>0.6</v>
      </c>
      <c r="AE95" s="2">
        <v>22</v>
      </c>
      <c r="AF95" s="2">
        <v>11</v>
      </c>
      <c r="AG95" s="2">
        <v>10</v>
      </c>
    </row>
    <row r="96" spans="1:33" s="15" customFormat="1" ht="14.65" thickBot="1" x14ac:dyDescent="0.5">
      <c r="A96" s="13" t="s">
        <v>59</v>
      </c>
      <c r="B96" s="41">
        <v>14</v>
      </c>
      <c r="C96" s="41">
        <v>1.0549999999999999</v>
      </c>
      <c r="D96" s="41">
        <v>0.96099999999999997</v>
      </c>
      <c r="E96" s="41">
        <v>9.4E-2</v>
      </c>
      <c r="F96" s="41">
        <v>46.6</v>
      </c>
      <c r="G96" s="41">
        <v>32.200000000000003</v>
      </c>
      <c r="H96" s="41">
        <v>21.2</v>
      </c>
      <c r="I96" s="41">
        <v>107.5</v>
      </c>
      <c r="J96" s="41">
        <v>30.3</v>
      </c>
      <c r="K96" s="41">
        <v>44.8</v>
      </c>
      <c r="L96" s="41">
        <v>50.1</v>
      </c>
      <c r="M96" s="41"/>
      <c r="N96" s="41">
        <v>0.378</v>
      </c>
      <c r="O96" s="41">
        <v>68.7</v>
      </c>
      <c r="P96" s="41">
        <v>0.97899999999999998</v>
      </c>
      <c r="Q96" s="41">
        <v>2.4</v>
      </c>
      <c r="R96" s="41">
        <v>59.9</v>
      </c>
      <c r="S96" s="41">
        <v>37.700000000000003</v>
      </c>
      <c r="T96" s="61">
        <v>0.70699999999999996</v>
      </c>
      <c r="U96" s="41">
        <v>19.399999999999999</v>
      </c>
      <c r="V96" s="41">
        <v>32.799999999999997</v>
      </c>
      <c r="W96" s="41">
        <v>38.299999999999997</v>
      </c>
      <c r="X96" s="41">
        <v>7.6999999999999999E-2</v>
      </c>
      <c r="Y96" s="41">
        <v>47.2</v>
      </c>
      <c r="Z96" s="41">
        <v>0.13300000000000001</v>
      </c>
      <c r="AA96" s="41">
        <v>0.17899999999999999</v>
      </c>
      <c r="AB96" s="41">
        <v>0.191</v>
      </c>
      <c r="AC96" s="41">
        <v>0.29299999999999998</v>
      </c>
      <c r="AD96" s="68">
        <v>0.375</v>
      </c>
      <c r="AE96" s="41">
        <v>23</v>
      </c>
      <c r="AF96" s="41">
        <v>10</v>
      </c>
      <c r="AG96" s="41">
        <v>203</v>
      </c>
    </row>
    <row r="97" spans="1:33" x14ac:dyDescent="0.4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</row>
    <row r="98" spans="1:33" x14ac:dyDescent="0.45">
      <c r="A98" s="1" t="s">
        <v>20</v>
      </c>
      <c r="B98" s="2">
        <v>3</v>
      </c>
      <c r="C98" s="2">
        <v>1.115</v>
      </c>
      <c r="D98" s="2">
        <v>0.94499999999999995</v>
      </c>
      <c r="E98" s="2">
        <v>0.17</v>
      </c>
      <c r="F98" s="2">
        <v>50.8</v>
      </c>
      <c r="G98" s="2">
        <v>28.6</v>
      </c>
      <c r="H98" s="2">
        <v>20.6</v>
      </c>
      <c r="I98" s="2">
        <v>117.2</v>
      </c>
      <c r="J98" s="2">
        <v>35.799999999999997</v>
      </c>
      <c r="K98" s="2">
        <v>36.9</v>
      </c>
      <c r="L98" s="2">
        <v>54.6</v>
      </c>
      <c r="M98" s="2"/>
      <c r="N98" s="2">
        <v>0.38500000000000001</v>
      </c>
      <c r="O98" s="2">
        <v>72.099999999999994</v>
      </c>
      <c r="P98" s="2">
        <v>0.95699999999999996</v>
      </c>
      <c r="Q98" s="2">
        <v>4</v>
      </c>
      <c r="R98" s="2">
        <v>60.9</v>
      </c>
      <c r="S98" s="2">
        <v>30.5</v>
      </c>
      <c r="T98" s="25">
        <v>0.74399999999999999</v>
      </c>
      <c r="U98" s="2">
        <v>16.5</v>
      </c>
      <c r="V98" s="2">
        <v>33.6</v>
      </c>
      <c r="W98" s="2">
        <v>40.9</v>
      </c>
      <c r="X98" s="2">
        <v>0.06</v>
      </c>
      <c r="Y98" s="2">
        <v>48.4</v>
      </c>
      <c r="Z98" s="2">
        <v>0.129</v>
      </c>
      <c r="AA98" s="2">
        <v>0.186</v>
      </c>
      <c r="AB98" s="2">
        <v>0.21199999999999999</v>
      </c>
      <c r="AC98" s="2">
        <v>0.28899999999999998</v>
      </c>
      <c r="AD98" s="67">
        <v>0.4</v>
      </c>
      <c r="AE98" s="2">
        <v>24</v>
      </c>
      <c r="AF98" s="2">
        <v>9</v>
      </c>
      <c r="AG98" s="2">
        <v>30</v>
      </c>
    </row>
    <row r="99" spans="1:33" x14ac:dyDescent="0.45">
      <c r="A99" s="1" t="s">
        <v>21</v>
      </c>
      <c r="B99" s="2">
        <v>14</v>
      </c>
      <c r="C99" s="2">
        <v>1.1299999999999999</v>
      </c>
      <c r="D99" s="2">
        <v>0.98599999999999999</v>
      </c>
      <c r="E99" s="2">
        <v>0.14399999999999999</v>
      </c>
      <c r="F99" s="2">
        <v>43.5</v>
      </c>
      <c r="G99" s="2">
        <v>38.299999999999997</v>
      </c>
      <c r="H99" s="2">
        <v>18.2</v>
      </c>
      <c r="I99" s="2">
        <v>118.5</v>
      </c>
      <c r="J99" s="2">
        <v>36.700000000000003</v>
      </c>
      <c r="K99" s="2">
        <v>47.4</v>
      </c>
      <c r="L99" s="2">
        <v>55.9</v>
      </c>
      <c r="M99" s="2"/>
      <c r="N99" s="2">
        <v>0.314</v>
      </c>
      <c r="O99" s="2">
        <v>68.7</v>
      </c>
      <c r="P99" s="2">
        <v>0.94499999999999995</v>
      </c>
      <c r="Q99" s="2">
        <v>-1.6</v>
      </c>
      <c r="R99" s="2">
        <v>63.1</v>
      </c>
      <c r="S99" s="2">
        <v>21.2</v>
      </c>
      <c r="T99" s="25">
        <v>0.748</v>
      </c>
      <c r="U99" s="2">
        <v>14.2</v>
      </c>
      <c r="V99" s="2">
        <v>31.2</v>
      </c>
      <c r="W99" s="2">
        <v>37</v>
      </c>
      <c r="X99" s="2">
        <v>4.7E-2</v>
      </c>
      <c r="Y99" s="2">
        <v>48.7</v>
      </c>
      <c r="Z99" s="2">
        <v>9.7000000000000003E-2</v>
      </c>
      <c r="AA99" s="2">
        <v>0.152</v>
      </c>
      <c r="AB99" s="2">
        <v>0.156</v>
      </c>
      <c r="AC99" s="2">
        <v>0.223</v>
      </c>
      <c r="AD99" s="67">
        <v>0.33300000000000002</v>
      </c>
      <c r="AE99" s="2">
        <v>25</v>
      </c>
      <c r="AF99" s="2">
        <v>9</v>
      </c>
      <c r="AG99" s="2">
        <v>319</v>
      </c>
    </row>
    <row r="100" spans="1:33" x14ac:dyDescent="0.4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</row>
    <row r="101" spans="1:33" x14ac:dyDescent="0.45">
      <c r="A101" s="1" t="s">
        <v>34</v>
      </c>
      <c r="B101" s="2">
        <v>3</v>
      </c>
      <c r="C101" s="2">
        <v>1.1719999999999999</v>
      </c>
      <c r="D101" s="2">
        <v>0.97899999999999998</v>
      </c>
      <c r="E101" s="2">
        <v>0.193</v>
      </c>
      <c r="F101" s="2">
        <v>45.8</v>
      </c>
      <c r="G101" s="2">
        <v>37.200000000000003</v>
      </c>
      <c r="H101" s="2">
        <v>17.100000000000001</v>
      </c>
      <c r="I101" s="2">
        <v>116.1</v>
      </c>
      <c r="J101" s="2">
        <v>37.9</v>
      </c>
      <c r="K101" s="2">
        <v>44.6</v>
      </c>
      <c r="L101" s="2">
        <v>55.5</v>
      </c>
      <c r="M101" s="2"/>
      <c r="N101" s="2">
        <v>0.29699999999999999</v>
      </c>
      <c r="O101" s="2">
        <v>69</v>
      </c>
      <c r="P101" s="2">
        <v>1.006</v>
      </c>
      <c r="Q101" s="2">
        <v>3.4</v>
      </c>
      <c r="R101" s="2">
        <v>59.4</v>
      </c>
      <c r="S101" s="2">
        <v>32.200000000000003</v>
      </c>
      <c r="T101" s="25">
        <v>0.73099999999999998</v>
      </c>
      <c r="U101" s="2">
        <v>14.4</v>
      </c>
      <c r="V101" s="2">
        <v>32.4</v>
      </c>
      <c r="W101" s="2">
        <v>34.6</v>
      </c>
      <c r="X101" s="2">
        <v>5.5E-2</v>
      </c>
      <c r="Y101" s="2">
        <v>48</v>
      </c>
      <c r="Z101" s="2">
        <v>9.1999999999999998E-2</v>
      </c>
      <c r="AA101" s="2">
        <v>0.16200000000000001</v>
      </c>
      <c r="AB101" s="2">
        <v>0.16700000000000001</v>
      </c>
      <c r="AC101" s="2">
        <v>0.33500000000000002</v>
      </c>
      <c r="AD101" s="67">
        <v>0.58299999999999996</v>
      </c>
      <c r="AE101" s="2">
        <v>25</v>
      </c>
      <c r="AF101" s="2">
        <v>8</v>
      </c>
      <c r="AG101" s="2">
        <v>47</v>
      </c>
    </row>
    <row r="102" spans="1:33" x14ac:dyDescent="0.45">
      <c r="A102" s="1" t="s">
        <v>6</v>
      </c>
      <c r="B102" s="2">
        <v>14</v>
      </c>
      <c r="C102" s="2">
        <v>1.1200000000000001</v>
      </c>
      <c r="D102" s="2">
        <v>1.02</v>
      </c>
      <c r="E102" s="2">
        <v>0.01</v>
      </c>
      <c r="F102" s="2">
        <v>51.6</v>
      </c>
      <c r="G102" s="2">
        <v>27</v>
      </c>
      <c r="H102" s="2">
        <v>21.3</v>
      </c>
      <c r="I102" s="2">
        <v>112.4</v>
      </c>
      <c r="J102" s="2">
        <v>33</v>
      </c>
      <c r="K102" s="2">
        <v>36.200000000000003</v>
      </c>
      <c r="L102" s="2">
        <v>52.2</v>
      </c>
      <c r="M102" s="2"/>
      <c r="N102" s="2">
        <v>0.378</v>
      </c>
      <c r="O102" s="2">
        <v>68.599999999999994</v>
      </c>
      <c r="P102" s="2">
        <v>0.996</v>
      </c>
      <c r="Q102" s="2">
        <v>1.7</v>
      </c>
      <c r="R102" s="2">
        <v>59.3</v>
      </c>
      <c r="S102" s="2">
        <v>34.6</v>
      </c>
      <c r="T102" s="25">
        <v>0.74399999999999999</v>
      </c>
      <c r="U102" s="2">
        <v>15.6</v>
      </c>
      <c r="V102" s="2">
        <v>34</v>
      </c>
      <c r="W102" s="2">
        <v>43.5</v>
      </c>
      <c r="X102" s="2">
        <v>5.8999999999999997E-2</v>
      </c>
      <c r="Y102" s="2">
        <v>50.9</v>
      </c>
      <c r="Z102" s="2">
        <v>9.1999999999999998E-2</v>
      </c>
      <c r="AA102" s="2">
        <v>0.17899999999999999</v>
      </c>
      <c r="AB102" s="2">
        <v>0.16800000000000001</v>
      </c>
      <c r="AC102" s="2">
        <v>0.30299999999999999</v>
      </c>
      <c r="AD102" s="67">
        <v>0.625</v>
      </c>
      <c r="AE102" s="2">
        <v>27</v>
      </c>
      <c r="AF102" s="2">
        <v>7</v>
      </c>
      <c r="AG102" s="2">
        <v>275</v>
      </c>
    </row>
    <row r="103" spans="1:33" x14ac:dyDescent="0.4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</row>
    <row r="104" spans="1:33" s="15" customFormat="1" ht="14.65" thickBot="1" x14ac:dyDescent="0.5">
      <c r="A104" s="13" t="s">
        <v>45</v>
      </c>
      <c r="B104" s="41">
        <v>3</v>
      </c>
      <c r="C104" s="41">
        <v>1.131</v>
      </c>
      <c r="D104" s="41">
        <v>0.999</v>
      </c>
      <c r="E104" s="41">
        <v>0.13200000000000001</v>
      </c>
      <c r="F104" s="41">
        <v>42.2</v>
      </c>
      <c r="G104" s="41">
        <v>37</v>
      </c>
      <c r="H104" s="41">
        <v>20.8</v>
      </c>
      <c r="I104" s="41">
        <v>116.8</v>
      </c>
      <c r="J104" s="41">
        <v>34.9</v>
      </c>
      <c r="K104" s="41">
        <v>48.1</v>
      </c>
      <c r="L104" s="41">
        <v>53.6</v>
      </c>
      <c r="M104" s="41"/>
      <c r="N104" s="41">
        <v>0.33800000000000002</v>
      </c>
      <c r="O104" s="41">
        <v>70.5</v>
      </c>
      <c r="P104" s="41">
        <v>0.97099999999999997</v>
      </c>
      <c r="Q104" s="41">
        <v>-0.5</v>
      </c>
      <c r="R104" s="41">
        <v>61.8</v>
      </c>
      <c r="S104" s="41">
        <v>24.7</v>
      </c>
      <c r="T104" s="61">
        <v>0.752</v>
      </c>
      <c r="U104" s="41">
        <v>13.8</v>
      </c>
      <c r="V104" s="41">
        <v>33.299999999999997</v>
      </c>
      <c r="W104" s="41">
        <v>39.1</v>
      </c>
      <c r="X104" s="41">
        <v>3.9E-2</v>
      </c>
      <c r="Y104" s="41">
        <v>47.9</v>
      </c>
      <c r="Z104" s="41">
        <v>7.2999999999999995E-2</v>
      </c>
      <c r="AA104" s="41">
        <v>0.17899999999999999</v>
      </c>
      <c r="AB104" s="41">
        <v>0.14099999999999999</v>
      </c>
      <c r="AC104" s="41">
        <v>0.28100000000000003</v>
      </c>
      <c r="AD104" s="68">
        <v>0.5</v>
      </c>
      <c r="AE104" s="41">
        <v>26</v>
      </c>
      <c r="AF104" s="41">
        <v>9</v>
      </c>
      <c r="AG104" s="41">
        <v>18</v>
      </c>
    </row>
    <row r="105" spans="1:33" x14ac:dyDescent="0.45">
      <c r="A105" s="2" t="s">
        <v>46</v>
      </c>
      <c r="B105" s="2">
        <v>14</v>
      </c>
      <c r="C105" s="2">
        <v>1.089</v>
      </c>
      <c r="D105" s="2">
        <v>1.0780000000000001</v>
      </c>
      <c r="E105" s="2">
        <v>1.0999999999999999E-2</v>
      </c>
      <c r="F105" s="2">
        <v>51.9</v>
      </c>
      <c r="G105" s="2">
        <v>28.9</v>
      </c>
      <c r="H105" s="2">
        <v>19.2</v>
      </c>
      <c r="I105" s="2">
        <v>118.4</v>
      </c>
      <c r="J105" s="2">
        <v>36.5</v>
      </c>
      <c r="K105" s="2">
        <v>36.799999999999997</v>
      </c>
      <c r="L105" s="2">
        <v>56.4</v>
      </c>
      <c r="M105" s="2"/>
      <c r="N105" s="2">
        <v>0.36199999999999999</v>
      </c>
      <c r="O105" s="2">
        <v>69.3</v>
      </c>
      <c r="P105" s="2">
        <v>0.92200000000000004</v>
      </c>
      <c r="Q105" s="2">
        <v>-2.9</v>
      </c>
      <c r="R105" s="2">
        <v>62.3</v>
      </c>
      <c r="S105" s="2">
        <v>19.7</v>
      </c>
      <c r="T105" s="25">
        <v>0.73</v>
      </c>
      <c r="U105" s="2">
        <v>15.8</v>
      </c>
      <c r="V105" s="2">
        <v>33.6</v>
      </c>
      <c r="W105" s="2">
        <v>35.1</v>
      </c>
      <c r="X105" s="2">
        <v>5.1999999999999998E-2</v>
      </c>
      <c r="Y105" s="2">
        <v>52.2</v>
      </c>
      <c r="Z105" s="2">
        <v>8.7999999999999995E-2</v>
      </c>
      <c r="AA105" s="2">
        <v>0.17899999999999999</v>
      </c>
      <c r="AB105" s="2">
        <v>0.152</v>
      </c>
      <c r="AC105" s="2">
        <v>0.31900000000000001</v>
      </c>
      <c r="AD105" s="67">
        <v>0.8</v>
      </c>
      <c r="AE105" s="2">
        <v>25</v>
      </c>
      <c r="AF105" s="2">
        <v>9</v>
      </c>
      <c r="AG105" s="2">
        <v>237</v>
      </c>
    </row>
    <row r="106" spans="1:33" x14ac:dyDescent="0.4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</row>
    <row r="107" spans="1:33" x14ac:dyDescent="0.45">
      <c r="A107" s="2" t="s">
        <v>55</v>
      </c>
      <c r="B107" s="2">
        <v>4</v>
      </c>
      <c r="C107" s="2">
        <v>1.1499999999999999</v>
      </c>
      <c r="D107" s="2">
        <v>1.0489999999999999</v>
      </c>
      <c r="E107" s="2">
        <v>0.10100000000000001</v>
      </c>
      <c r="F107" s="2">
        <v>49.6</v>
      </c>
      <c r="G107" s="2">
        <v>31.9</v>
      </c>
      <c r="H107" s="2">
        <v>18.5</v>
      </c>
      <c r="I107" s="2">
        <v>118.2</v>
      </c>
      <c r="J107" s="2">
        <v>38.5</v>
      </c>
      <c r="K107" s="2">
        <v>38.1</v>
      </c>
      <c r="L107" s="2">
        <v>56.3</v>
      </c>
      <c r="M107" s="2"/>
      <c r="N107" s="2">
        <v>0.34599999999999997</v>
      </c>
      <c r="O107" s="2">
        <v>67.7</v>
      </c>
      <c r="P107" s="2">
        <v>0.97</v>
      </c>
      <c r="Q107" s="2">
        <v>1.1000000000000001</v>
      </c>
      <c r="R107" s="2">
        <v>60.3</v>
      </c>
      <c r="S107" s="2">
        <v>29.2</v>
      </c>
      <c r="T107" s="25">
        <v>0.71299999999999997</v>
      </c>
      <c r="U107" s="2">
        <v>15.3</v>
      </c>
      <c r="V107" s="2">
        <v>31.2</v>
      </c>
      <c r="W107" s="2">
        <v>42.6</v>
      </c>
      <c r="X107" s="2">
        <v>2.9000000000000001E-2</v>
      </c>
      <c r="Y107" s="2">
        <v>52</v>
      </c>
      <c r="Z107" s="2">
        <v>9.6000000000000002E-2</v>
      </c>
      <c r="AA107" s="2">
        <v>0.217</v>
      </c>
      <c r="AB107" s="2">
        <v>0.17399999999999999</v>
      </c>
      <c r="AC107" s="2">
        <v>0.31</v>
      </c>
      <c r="AD107" s="67">
        <v>0.57099999999999995</v>
      </c>
      <c r="AE107" s="2">
        <v>22</v>
      </c>
      <c r="AF107" s="2">
        <v>11</v>
      </c>
      <c r="AG107" s="2">
        <v>2</v>
      </c>
    </row>
    <row r="108" spans="1:33" x14ac:dyDescent="0.45">
      <c r="A108" s="1" t="s">
        <v>56</v>
      </c>
      <c r="B108" s="2">
        <v>13</v>
      </c>
      <c r="C108" s="2">
        <v>1.1839999999999999</v>
      </c>
      <c r="D108" s="2">
        <v>1.022</v>
      </c>
      <c r="E108" s="2">
        <v>0.16200000000000001</v>
      </c>
      <c r="F108" s="2">
        <v>49.2</v>
      </c>
      <c r="G108" s="2">
        <v>30.7</v>
      </c>
      <c r="H108" s="2">
        <v>20.100000000000001</v>
      </c>
      <c r="I108" s="2">
        <v>119.8</v>
      </c>
      <c r="J108" s="2">
        <v>36.6</v>
      </c>
      <c r="K108" s="2">
        <v>39</v>
      </c>
      <c r="L108" s="2">
        <v>56.4</v>
      </c>
      <c r="M108" s="2"/>
      <c r="N108" s="2">
        <v>0.376</v>
      </c>
      <c r="O108" s="2">
        <v>69</v>
      </c>
      <c r="P108" s="2">
        <v>0.98599999999999999</v>
      </c>
      <c r="Q108" s="2">
        <v>1</v>
      </c>
      <c r="R108" s="2">
        <v>62.1</v>
      </c>
      <c r="S108" s="2">
        <v>32.6</v>
      </c>
      <c r="T108" s="25">
        <v>0.71799999999999997</v>
      </c>
      <c r="U108" s="2">
        <v>15</v>
      </c>
      <c r="V108" s="2">
        <v>32.9</v>
      </c>
      <c r="W108" s="2">
        <v>35.6</v>
      </c>
      <c r="X108" s="2">
        <v>4.5999999999999999E-2</v>
      </c>
      <c r="Y108" s="2">
        <v>49.1</v>
      </c>
      <c r="Z108" s="2">
        <v>8.5000000000000006E-2</v>
      </c>
      <c r="AA108" s="2">
        <v>0.154</v>
      </c>
      <c r="AB108" s="2">
        <v>0.16</v>
      </c>
      <c r="AC108" s="2">
        <v>0.36299999999999999</v>
      </c>
      <c r="AD108" s="67">
        <v>0.6</v>
      </c>
      <c r="AE108" s="2">
        <v>29</v>
      </c>
      <c r="AF108" s="2">
        <v>5</v>
      </c>
      <c r="AG108" s="2">
        <v>302</v>
      </c>
    </row>
    <row r="109" spans="1:33" x14ac:dyDescent="0.4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</row>
    <row r="110" spans="1:33" x14ac:dyDescent="0.45">
      <c r="A110" s="1" t="s">
        <v>43</v>
      </c>
      <c r="B110" s="2">
        <v>4</v>
      </c>
      <c r="C110" s="2">
        <v>1.1259999999999999</v>
      </c>
      <c r="D110" s="2">
        <v>0.998</v>
      </c>
      <c r="E110" s="2">
        <v>0.128</v>
      </c>
      <c r="F110" s="2">
        <v>53.1</v>
      </c>
      <c r="G110" s="2">
        <v>26.1</v>
      </c>
      <c r="H110" s="2">
        <v>20.8</v>
      </c>
      <c r="I110" s="2">
        <v>115</v>
      </c>
      <c r="J110" s="2">
        <v>32.4</v>
      </c>
      <c r="K110" s="2">
        <v>34.6</v>
      </c>
      <c r="L110" s="2">
        <v>52.9</v>
      </c>
      <c r="M110" s="2"/>
      <c r="N110" s="2">
        <v>0.36599999999999999</v>
      </c>
      <c r="O110" s="2">
        <v>72.599999999999994</v>
      </c>
      <c r="P110" s="2">
        <v>0.99</v>
      </c>
      <c r="Q110" s="2">
        <v>2.1</v>
      </c>
      <c r="R110" s="2">
        <v>58.9</v>
      </c>
      <c r="S110" s="2">
        <v>34.6</v>
      </c>
      <c r="T110" s="25">
        <v>0.748</v>
      </c>
      <c r="U110" s="2">
        <v>15.8</v>
      </c>
      <c r="V110" s="2">
        <v>34</v>
      </c>
      <c r="W110" s="2">
        <v>41.3</v>
      </c>
      <c r="X110" s="2">
        <v>7.0999999999999994E-2</v>
      </c>
      <c r="Y110" s="2">
        <v>48.6</v>
      </c>
      <c r="Z110" s="2">
        <v>0.104</v>
      </c>
      <c r="AA110" s="2">
        <v>0.184</v>
      </c>
      <c r="AB110" s="2">
        <v>0.158</v>
      </c>
      <c r="AC110" s="2">
        <v>0.29199999999999998</v>
      </c>
      <c r="AD110" s="67">
        <v>0.16700000000000001</v>
      </c>
      <c r="AE110" s="2">
        <v>22</v>
      </c>
      <c r="AF110" s="2">
        <v>12</v>
      </c>
      <c r="AG110" s="2">
        <v>6</v>
      </c>
    </row>
    <row r="111" spans="1:33" x14ac:dyDescent="0.45">
      <c r="A111" s="2" t="s">
        <v>44</v>
      </c>
      <c r="B111" s="2">
        <v>13</v>
      </c>
      <c r="C111" s="2">
        <v>1.1259999999999999</v>
      </c>
      <c r="D111" s="2">
        <v>1.0169999999999999</v>
      </c>
      <c r="E111" s="2">
        <v>0.109</v>
      </c>
      <c r="F111" s="2">
        <v>46.5</v>
      </c>
      <c r="G111" s="2">
        <v>37.9</v>
      </c>
      <c r="H111" s="2">
        <v>15.6</v>
      </c>
      <c r="I111" s="2">
        <v>115.4</v>
      </c>
      <c r="J111" s="2">
        <v>36.6</v>
      </c>
      <c r="K111" s="2">
        <v>45.4</v>
      </c>
      <c r="L111" s="2">
        <v>55.4</v>
      </c>
      <c r="M111" s="2"/>
      <c r="N111" s="2">
        <v>0.26800000000000002</v>
      </c>
      <c r="O111" s="2">
        <v>74.599999999999994</v>
      </c>
      <c r="P111" s="2">
        <v>0.97199999999999998</v>
      </c>
      <c r="Q111" s="2">
        <v>1.5</v>
      </c>
      <c r="R111" s="2">
        <v>59.7</v>
      </c>
      <c r="S111" s="2">
        <v>31.6</v>
      </c>
      <c r="T111" s="25">
        <v>0.73199999999999998</v>
      </c>
      <c r="U111" s="2">
        <v>16.2</v>
      </c>
      <c r="V111" s="2">
        <v>32.4</v>
      </c>
      <c r="W111" s="2">
        <v>38</v>
      </c>
      <c r="X111" s="2">
        <v>6.0999999999999999E-2</v>
      </c>
      <c r="Y111" s="2">
        <v>49.5</v>
      </c>
      <c r="Z111" s="2">
        <v>0.1</v>
      </c>
      <c r="AA111" s="2">
        <v>0.16400000000000001</v>
      </c>
      <c r="AB111" s="2">
        <v>0.16800000000000001</v>
      </c>
      <c r="AC111" s="2">
        <v>0.33700000000000002</v>
      </c>
      <c r="AD111" s="67">
        <v>0.71399999999999997</v>
      </c>
      <c r="AE111" s="2">
        <v>28</v>
      </c>
      <c r="AF111" s="2">
        <v>6</v>
      </c>
      <c r="AG111" s="2">
        <v>273</v>
      </c>
    </row>
    <row r="112" spans="1:33" x14ac:dyDescent="0.4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</row>
    <row r="113" spans="1:33" x14ac:dyDescent="0.45">
      <c r="A113" s="1" t="s">
        <v>69</v>
      </c>
      <c r="B113" s="2">
        <v>4</v>
      </c>
      <c r="C113" s="2">
        <v>1.0580000000000001</v>
      </c>
      <c r="D113" s="2">
        <v>0.96799999999999997</v>
      </c>
      <c r="E113" s="2">
        <v>0.09</v>
      </c>
      <c r="F113" s="2">
        <v>48.9</v>
      </c>
      <c r="G113" s="2">
        <v>28</v>
      </c>
      <c r="H113" s="2">
        <v>23.1</v>
      </c>
      <c r="I113" s="2">
        <v>103.5</v>
      </c>
      <c r="J113" s="2">
        <v>37.4</v>
      </c>
      <c r="K113" s="2">
        <v>41.7</v>
      </c>
      <c r="L113" s="2">
        <v>56</v>
      </c>
      <c r="M113" s="2"/>
      <c r="N113" s="2">
        <v>0.41699999999999998</v>
      </c>
      <c r="O113" s="2">
        <v>70.2</v>
      </c>
      <c r="P113" s="2">
        <v>1.0189999999999999</v>
      </c>
      <c r="Q113" s="2">
        <v>6.6</v>
      </c>
      <c r="R113" s="2">
        <v>56.7</v>
      </c>
      <c r="S113" s="2">
        <v>40.200000000000003</v>
      </c>
      <c r="T113" s="25">
        <v>0.745</v>
      </c>
      <c r="U113" s="2">
        <v>17.600000000000001</v>
      </c>
      <c r="V113" s="2">
        <v>33.299999999999997</v>
      </c>
      <c r="W113" s="2">
        <v>46.2</v>
      </c>
      <c r="X113" s="2">
        <v>7.2999999999999995E-2</v>
      </c>
      <c r="Y113" s="2">
        <v>48.2</v>
      </c>
      <c r="Z113" s="2">
        <v>0.107</v>
      </c>
      <c r="AA113" s="2">
        <v>0.20699999999999999</v>
      </c>
      <c r="AB113" s="2">
        <v>0.188</v>
      </c>
      <c r="AC113" s="2">
        <v>0.35299999999999998</v>
      </c>
      <c r="AD113" s="67">
        <v>0.66700000000000004</v>
      </c>
      <c r="AE113" s="2">
        <v>22</v>
      </c>
      <c r="AF113" s="2">
        <v>10</v>
      </c>
      <c r="AG113" s="2">
        <v>8</v>
      </c>
    </row>
    <row r="114" spans="1:33" x14ac:dyDescent="0.45">
      <c r="A114" s="1" t="s">
        <v>18</v>
      </c>
      <c r="B114" s="2">
        <v>13</v>
      </c>
      <c r="C114" s="2">
        <v>1.1479999999999999</v>
      </c>
      <c r="D114" s="2">
        <v>1</v>
      </c>
      <c r="E114" s="2">
        <v>0.14799999999999999</v>
      </c>
      <c r="F114" s="2">
        <v>54.5</v>
      </c>
      <c r="G114" s="2">
        <v>28</v>
      </c>
      <c r="H114" s="2">
        <v>17.600000000000001</v>
      </c>
      <c r="I114" s="2">
        <v>115.3</v>
      </c>
      <c r="J114" s="2">
        <v>38.5</v>
      </c>
      <c r="K114" s="2">
        <v>32</v>
      </c>
      <c r="L114" s="2">
        <v>54.8</v>
      </c>
      <c r="M114" s="2"/>
      <c r="N114" s="2">
        <v>0.32</v>
      </c>
      <c r="O114" s="2">
        <v>70.5</v>
      </c>
      <c r="P114" s="2">
        <v>0.98699999999999999</v>
      </c>
      <c r="Q114" s="2">
        <v>2.2000000000000002</v>
      </c>
      <c r="R114" s="2">
        <v>57.8</v>
      </c>
      <c r="S114" s="2">
        <v>30.6</v>
      </c>
      <c r="T114" s="25">
        <v>0.76500000000000001</v>
      </c>
      <c r="U114" s="2">
        <v>14</v>
      </c>
      <c r="V114" s="2">
        <v>33.4</v>
      </c>
      <c r="W114" s="2">
        <v>47.8</v>
      </c>
      <c r="X114" s="2">
        <v>0.06</v>
      </c>
      <c r="Y114" s="2">
        <v>48.8</v>
      </c>
      <c r="Z114" s="2">
        <v>0.08</v>
      </c>
      <c r="AA114" s="2">
        <v>0.19900000000000001</v>
      </c>
      <c r="AB114" s="2">
        <v>0.157</v>
      </c>
      <c r="AC114" s="2">
        <v>0.28699999999999998</v>
      </c>
      <c r="AD114" s="67">
        <v>0.625</v>
      </c>
      <c r="AE114" s="2">
        <v>22</v>
      </c>
      <c r="AF114" s="2">
        <v>7</v>
      </c>
      <c r="AG114" s="2">
        <v>158</v>
      </c>
    </row>
    <row r="115" spans="1:33" x14ac:dyDescent="0.4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</row>
    <row r="116" spans="1:33" s="15" customFormat="1" ht="14.65" thickBot="1" x14ac:dyDescent="0.5">
      <c r="A116" s="13" t="s">
        <v>30</v>
      </c>
      <c r="B116" s="41">
        <v>4</v>
      </c>
      <c r="C116" s="41">
        <v>1.127</v>
      </c>
      <c r="D116" s="41">
        <v>0.92400000000000004</v>
      </c>
      <c r="E116" s="41">
        <v>0.20300000000000001</v>
      </c>
      <c r="F116" s="41">
        <v>51.2</v>
      </c>
      <c r="G116" s="41">
        <v>30</v>
      </c>
      <c r="H116" s="41">
        <v>18.8</v>
      </c>
      <c r="I116" s="41">
        <v>114</v>
      </c>
      <c r="J116" s="41">
        <v>37.200000000000003</v>
      </c>
      <c r="K116" s="41">
        <v>35.5</v>
      </c>
      <c r="L116" s="41">
        <v>53.8</v>
      </c>
      <c r="M116" s="41"/>
      <c r="N116" s="41">
        <v>0.32900000000000001</v>
      </c>
      <c r="O116" s="41">
        <v>72.5</v>
      </c>
      <c r="P116" s="41">
        <v>0.98299999999999998</v>
      </c>
      <c r="Q116" s="41">
        <v>4.3</v>
      </c>
      <c r="R116" s="41">
        <v>56</v>
      </c>
      <c r="S116" s="41">
        <v>28.9</v>
      </c>
      <c r="T116" s="61">
        <v>0.73799999999999999</v>
      </c>
      <c r="U116" s="41">
        <v>14.2</v>
      </c>
      <c r="V116" s="41">
        <v>30.6</v>
      </c>
      <c r="W116" s="41">
        <v>36.200000000000003</v>
      </c>
      <c r="X116" s="41">
        <v>7.4999999999999997E-2</v>
      </c>
      <c r="Y116" s="41">
        <v>47</v>
      </c>
      <c r="Z116" s="41">
        <v>0.109</v>
      </c>
      <c r="AA116" s="41">
        <v>0.16700000000000001</v>
      </c>
      <c r="AB116" s="41">
        <v>0.19700000000000001</v>
      </c>
      <c r="AC116" s="41">
        <v>0.25900000000000001</v>
      </c>
      <c r="AD116" s="68">
        <v>0.36399999999999999</v>
      </c>
      <c r="AE116" s="41">
        <v>25</v>
      </c>
      <c r="AF116" s="41">
        <v>8</v>
      </c>
      <c r="AG116" s="41">
        <v>61</v>
      </c>
    </row>
    <row r="117" spans="1:33" s="15" customFormat="1" ht="14.65" thickBot="1" x14ac:dyDescent="0.5">
      <c r="A117" s="13" t="s">
        <v>31</v>
      </c>
      <c r="B117" s="41">
        <v>13</v>
      </c>
      <c r="C117" s="41">
        <v>1.054</v>
      </c>
      <c r="D117" s="41">
        <v>0.93500000000000005</v>
      </c>
      <c r="E117" s="41">
        <v>0.11899999999999999</v>
      </c>
      <c r="F117" s="41">
        <v>52.2</v>
      </c>
      <c r="G117" s="41">
        <v>23.8</v>
      </c>
      <c r="H117" s="41">
        <v>24</v>
      </c>
      <c r="I117" s="41">
        <v>110.6</v>
      </c>
      <c r="J117" s="41">
        <v>31.6</v>
      </c>
      <c r="K117" s="41">
        <v>33.6</v>
      </c>
      <c r="L117" s="41">
        <v>51.3</v>
      </c>
      <c r="M117" s="41"/>
      <c r="N117" s="41">
        <v>0.44</v>
      </c>
      <c r="O117" s="41">
        <v>74.5</v>
      </c>
      <c r="P117" s="41">
        <v>0.94699999999999995</v>
      </c>
      <c r="Q117" s="41">
        <v>2.1</v>
      </c>
      <c r="R117" s="41">
        <v>57.9</v>
      </c>
      <c r="S117" s="41">
        <v>30.5</v>
      </c>
      <c r="T117" s="61">
        <v>0.73399999999999999</v>
      </c>
      <c r="U117" s="41">
        <v>18</v>
      </c>
      <c r="V117" s="41">
        <v>32.299999999999997</v>
      </c>
      <c r="W117" s="41">
        <v>34.1</v>
      </c>
      <c r="X117" s="41">
        <v>8.5999999999999993E-2</v>
      </c>
      <c r="Y117" s="41">
        <v>47</v>
      </c>
      <c r="Z117" s="41">
        <v>0.122</v>
      </c>
      <c r="AA117" s="41">
        <v>0.159</v>
      </c>
      <c r="AB117" s="41">
        <v>0.19900000000000001</v>
      </c>
      <c r="AC117" s="41">
        <v>0.32200000000000001</v>
      </c>
      <c r="AD117" s="68">
        <v>0.71399999999999997</v>
      </c>
      <c r="AE117" s="41">
        <v>26</v>
      </c>
      <c r="AF117" s="41">
        <v>7</v>
      </c>
      <c r="AG117" s="41">
        <v>243</v>
      </c>
    </row>
    <row r="118" spans="1:33" x14ac:dyDescent="0.4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</row>
    <row r="119" spans="1:33" x14ac:dyDescent="0.45">
      <c r="A119" s="2" t="s">
        <v>41</v>
      </c>
      <c r="B119" s="2">
        <v>5</v>
      </c>
      <c r="C119" s="2">
        <v>1.0740000000000001</v>
      </c>
      <c r="D119" s="2">
        <v>0.999</v>
      </c>
      <c r="E119" s="2">
        <v>7.4999999999999997E-2</v>
      </c>
      <c r="F119" s="2">
        <v>50.5</v>
      </c>
      <c r="G119" s="2">
        <v>30.3</v>
      </c>
      <c r="H119" s="2">
        <v>19.2</v>
      </c>
      <c r="I119" s="2">
        <v>112.4</v>
      </c>
      <c r="J119" s="2">
        <v>34</v>
      </c>
      <c r="K119" s="2">
        <v>38.6</v>
      </c>
      <c r="L119" s="2">
        <v>52.2</v>
      </c>
      <c r="M119" s="2"/>
      <c r="N119" s="2">
        <v>0.33400000000000002</v>
      </c>
      <c r="O119" s="2">
        <v>71</v>
      </c>
      <c r="P119" s="2">
        <v>0.95599999999999996</v>
      </c>
      <c r="Q119" s="2">
        <v>-0.2</v>
      </c>
      <c r="R119" s="2">
        <v>58.4</v>
      </c>
      <c r="S119" s="2">
        <v>27.6</v>
      </c>
      <c r="T119" s="25">
        <v>0.72099999999999997</v>
      </c>
      <c r="U119" s="2">
        <v>15.9</v>
      </c>
      <c r="V119" s="2">
        <v>31.6</v>
      </c>
      <c r="W119" s="2">
        <v>37.700000000000003</v>
      </c>
      <c r="X119" s="2">
        <v>6.2E-2</v>
      </c>
      <c r="Y119" s="2">
        <v>49</v>
      </c>
      <c r="Z119" s="2">
        <v>0.10100000000000001</v>
      </c>
      <c r="AA119" s="2">
        <v>0.182</v>
      </c>
      <c r="AB119" s="2">
        <v>0.17100000000000001</v>
      </c>
      <c r="AC119" s="2">
        <v>0.27800000000000002</v>
      </c>
      <c r="AD119" s="67">
        <v>0.77800000000000002</v>
      </c>
      <c r="AE119" s="2">
        <v>24</v>
      </c>
      <c r="AF119" s="2">
        <v>9</v>
      </c>
      <c r="AG119" s="2">
        <v>12</v>
      </c>
    </row>
    <row r="120" spans="1:33" s="15" customFormat="1" ht="14.65" thickBot="1" x14ac:dyDescent="0.5">
      <c r="A120" s="13" t="s">
        <v>42</v>
      </c>
      <c r="B120" s="41">
        <v>12</v>
      </c>
      <c r="C120" s="41">
        <v>1.0940000000000001</v>
      </c>
      <c r="D120" s="41">
        <v>0.95299999999999996</v>
      </c>
      <c r="E120" s="41">
        <v>0.14099999999999999</v>
      </c>
      <c r="F120" s="41">
        <v>44</v>
      </c>
      <c r="G120" s="41">
        <v>41.4</v>
      </c>
      <c r="H120" s="41">
        <v>14.6</v>
      </c>
      <c r="I120" s="41">
        <v>118.3</v>
      </c>
      <c r="J120" s="41">
        <v>39.5</v>
      </c>
      <c r="K120" s="41">
        <v>47.7</v>
      </c>
      <c r="L120" s="41">
        <v>58.4</v>
      </c>
      <c r="M120" s="41"/>
      <c r="N120" s="41">
        <v>0.309</v>
      </c>
      <c r="O120" s="41">
        <v>68</v>
      </c>
      <c r="P120" s="41">
        <v>0.92400000000000004</v>
      </c>
      <c r="Q120" s="41">
        <v>-2</v>
      </c>
      <c r="R120" s="41">
        <v>63.2</v>
      </c>
      <c r="S120" s="41">
        <v>17.600000000000001</v>
      </c>
      <c r="T120" s="61">
        <v>0.74099999999999999</v>
      </c>
      <c r="U120" s="41">
        <v>15</v>
      </c>
      <c r="V120" s="41">
        <v>28.7</v>
      </c>
      <c r="W120" s="41">
        <v>34.5</v>
      </c>
      <c r="X120" s="41">
        <v>5.1999999999999998E-2</v>
      </c>
      <c r="Y120" s="41">
        <v>46</v>
      </c>
      <c r="Z120" s="41">
        <v>0.09</v>
      </c>
      <c r="AA120" s="41">
        <v>0.14000000000000001</v>
      </c>
      <c r="AB120" s="41">
        <v>0.16700000000000001</v>
      </c>
      <c r="AC120" s="41">
        <v>0.26300000000000001</v>
      </c>
      <c r="AD120" s="68">
        <v>0.58299999999999996</v>
      </c>
      <c r="AE120" s="41">
        <v>28</v>
      </c>
      <c r="AF120" s="41">
        <v>6</v>
      </c>
      <c r="AG120" s="41">
        <v>193</v>
      </c>
    </row>
    <row r="121" spans="1:33" x14ac:dyDescent="0.4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</row>
    <row r="122" spans="1:33" x14ac:dyDescent="0.45">
      <c r="A122" s="1" t="s">
        <v>54</v>
      </c>
      <c r="B122" s="2">
        <v>5</v>
      </c>
      <c r="C122" s="2">
        <v>1.123</v>
      </c>
      <c r="D122" s="2">
        <v>0.96599999999999997</v>
      </c>
      <c r="E122" s="2">
        <v>0.157</v>
      </c>
      <c r="F122" s="2">
        <v>49.7</v>
      </c>
      <c r="G122" s="2">
        <v>33.4</v>
      </c>
      <c r="H122" s="2">
        <v>16.899999999999999</v>
      </c>
      <c r="I122" s="2">
        <v>113.3</v>
      </c>
      <c r="J122" s="2">
        <v>37.200000000000003</v>
      </c>
      <c r="K122" s="2">
        <v>38.4</v>
      </c>
      <c r="L122" s="2">
        <v>53.6</v>
      </c>
      <c r="M122" s="2"/>
      <c r="N122" s="2">
        <v>0.28199999999999997</v>
      </c>
      <c r="O122" s="2">
        <v>68</v>
      </c>
      <c r="P122" s="2">
        <v>0.98799999999999999</v>
      </c>
      <c r="Q122" s="2">
        <v>3.4</v>
      </c>
      <c r="R122" s="2">
        <v>56.9</v>
      </c>
      <c r="S122" s="2">
        <v>31.9</v>
      </c>
      <c r="T122" s="25">
        <v>0.71399999999999997</v>
      </c>
      <c r="U122" s="2">
        <v>15.4</v>
      </c>
      <c r="V122" s="2">
        <v>31.9</v>
      </c>
      <c r="W122" s="2">
        <v>38</v>
      </c>
      <c r="X122" s="2">
        <v>6.2E-2</v>
      </c>
      <c r="Y122" s="2">
        <v>48.9</v>
      </c>
      <c r="Z122" s="2">
        <v>0.109</v>
      </c>
      <c r="AA122" s="2">
        <v>0.155</v>
      </c>
      <c r="AB122" s="2">
        <v>0.19600000000000001</v>
      </c>
      <c r="AC122" s="2">
        <v>0.27600000000000002</v>
      </c>
      <c r="AD122" s="67">
        <v>0.42899999999999999</v>
      </c>
      <c r="AE122" s="2">
        <v>27</v>
      </c>
      <c r="AF122" s="2">
        <v>6</v>
      </c>
      <c r="AG122" s="2">
        <v>59</v>
      </c>
    </row>
    <row r="123" spans="1:33" x14ac:dyDescent="0.45">
      <c r="A123" s="1" t="s">
        <v>72</v>
      </c>
      <c r="B123" s="2">
        <v>12</v>
      </c>
      <c r="C123" s="2">
        <v>1.1180000000000001</v>
      </c>
      <c r="D123" s="2">
        <v>0.95199999999999996</v>
      </c>
      <c r="E123" s="2">
        <v>0.16600000000000001</v>
      </c>
      <c r="F123" s="2">
        <v>51.7</v>
      </c>
      <c r="G123" s="2">
        <v>29.6</v>
      </c>
      <c r="H123" s="2">
        <v>18.8</v>
      </c>
      <c r="I123" s="2">
        <v>111.7</v>
      </c>
      <c r="J123" s="2">
        <v>35.6</v>
      </c>
      <c r="K123" s="2">
        <v>36.700000000000003</v>
      </c>
      <c r="L123" s="2">
        <v>53.3</v>
      </c>
      <c r="M123" s="2"/>
      <c r="N123" s="2">
        <v>0.35699999999999998</v>
      </c>
      <c r="O123" s="2">
        <v>67.400000000000006</v>
      </c>
      <c r="P123" s="2">
        <v>0.997</v>
      </c>
      <c r="Q123" s="2">
        <v>4.7</v>
      </c>
      <c r="R123" s="2">
        <v>58</v>
      </c>
      <c r="S123" s="2">
        <v>33.799999999999997</v>
      </c>
      <c r="T123" s="25">
        <v>0.70299999999999996</v>
      </c>
      <c r="U123" s="2">
        <v>15.9</v>
      </c>
      <c r="V123" s="2">
        <v>32.4</v>
      </c>
      <c r="W123" s="2">
        <v>46.9</v>
      </c>
      <c r="X123" s="2">
        <v>6.4000000000000001E-2</v>
      </c>
      <c r="Y123" s="2">
        <v>47.5</v>
      </c>
      <c r="Z123" s="2">
        <v>0.13</v>
      </c>
      <c r="AA123" s="2">
        <v>0.17899999999999999</v>
      </c>
      <c r="AB123" s="2">
        <v>0.21199999999999999</v>
      </c>
      <c r="AC123" s="2">
        <v>0.314</v>
      </c>
      <c r="AD123" s="67">
        <v>0.6</v>
      </c>
      <c r="AE123" s="2">
        <v>27</v>
      </c>
      <c r="AF123" s="2">
        <v>6</v>
      </c>
      <c r="AG123" s="2">
        <v>272</v>
      </c>
    </row>
    <row r="124" spans="1:33" x14ac:dyDescent="0.4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</row>
    <row r="125" spans="1:33" x14ac:dyDescent="0.45">
      <c r="A125" s="1" t="s">
        <v>28</v>
      </c>
      <c r="B125" s="2">
        <v>5</v>
      </c>
      <c r="C125" s="2">
        <v>1.085</v>
      </c>
      <c r="D125" s="2">
        <v>0.99199999999999999</v>
      </c>
      <c r="E125" s="2">
        <v>9.2999999999999999E-2</v>
      </c>
      <c r="F125" s="2">
        <v>51.6</v>
      </c>
      <c r="G125" s="2">
        <v>27.9</v>
      </c>
      <c r="H125" s="2">
        <v>20.5</v>
      </c>
      <c r="I125" s="2">
        <v>113.4</v>
      </c>
      <c r="J125" s="2">
        <v>38</v>
      </c>
      <c r="K125" s="2">
        <v>33.1</v>
      </c>
      <c r="L125" s="2">
        <v>53.6</v>
      </c>
      <c r="M125" s="2"/>
      <c r="N125" s="2">
        <v>0.39400000000000002</v>
      </c>
      <c r="O125" s="2">
        <v>73.8</v>
      </c>
      <c r="P125" s="2">
        <v>0.95699999999999996</v>
      </c>
      <c r="Q125" s="2">
        <v>0.4</v>
      </c>
      <c r="R125" s="2">
        <v>57.3</v>
      </c>
      <c r="S125" s="2">
        <v>33.799999999999997</v>
      </c>
      <c r="T125" s="25">
        <v>0.70199999999999996</v>
      </c>
      <c r="U125" s="2">
        <v>18.7</v>
      </c>
      <c r="V125" s="2">
        <v>32.4</v>
      </c>
      <c r="W125" s="2">
        <v>41</v>
      </c>
      <c r="X125" s="2">
        <v>7.8E-2</v>
      </c>
      <c r="Y125" s="2">
        <v>48.5</v>
      </c>
      <c r="Z125" s="2">
        <v>0.105</v>
      </c>
      <c r="AA125" s="2">
        <v>0.187</v>
      </c>
      <c r="AB125" s="2">
        <v>0.185</v>
      </c>
      <c r="AC125" s="2">
        <v>0.33600000000000002</v>
      </c>
      <c r="AD125" s="67">
        <v>0.90900000000000003</v>
      </c>
      <c r="AE125" s="2">
        <v>29</v>
      </c>
      <c r="AF125" s="2">
        <v>5</v>
      </c>
      <c r="AG125" s="2">
        <v>75</v>
      </c>
    </row>
    <row r="126" spans="1:33" x14ac:dyDescent="0.45">
      <c r="A126" s="2" t="s">
        <v>29</v>
      </c>
      <c r="B126" s="2">
        <v>12</v>
      </c>
      <c r="C126" s="2">
        <v>1.101</v>
      </c>
      <c r="D126" s="2">
        <v>0.98099999999999998</v>
      </c>
      <c r="E126" s="2">
        <v>0.12</v>
      </c>
      <c r="F126" s="2">
        <v>47.5</v>
      </c>
      <c r="G126" s="2">
        <v>34.4</v>
      </c>
      <c r="H126" s="2">
        <v>18.100000000000001</v>
      </c>
      <c r="I126" s="2">
        <v>117.9</v>
      </c>
      <c r="J126" s="2">
        <v>36.6</v>
      </c>
      <c r="K126" s="2">
        <v>42.8</v>
      </c>
      <c r="L126" s="2">
        <v>55.8</v>
      </c>
      <c r="M126" s="2"/>
      <c r="N126" s="2">
        <v>0.318</v>
      </c>
      <c r="O126" s="2">
        <v>68.400000000000006</v>
      </c>
      <c r="P126" s="2">
        <v>0.93700000000000006</v>
      </c>
      <c r="Q126" s="2">
        <v>-1</v>
      </c>
      <c r="R126" s="2">
        <v>61.6</v>
      </c>
      <c r="S126" s="2">
        <v>24.7</v>
      </c>
      <c r="T126" s="25">
        <v>0.75700000000000001</v>
      </c>
      <c r="U126" s="2">
        <v>17</v>
      </c>
      <c r="V126" s="2">
        <v>33.200000000000003</v>
      </c>
      <c r="W126" s="2">
        <v>38</v>
      </c>
      <c r="X126" s="2">
        <v>4.9000000000000002E-2</v>
      </c>
      <c r="Y126" s="2">
        <v>48.5</v>
      </c>
      <c r="Z126" s="2">
        <v>7.4999999999999997E-2</v>
      </c>
      <c r="AA126" s="2">
        <v>0.16200000000000001</v>
      </c>
      <c r="AB126" s="2">
        <v>0.16400000000000001</v>
      </c>
      <c r="AC126" s="2">
        <v>0.33600000000000002</v>
      </c>
      <c r="AD126" s="67">
        <v>0.83299999999999996</v>
      </c>
      <c r="AE126" s="2">
        <v>25</v>
      </c>
      <c r="AF126" s="2">
        <v>9</v>
      </c>
      <c r="AG126" s="2">
        <v>83</v>
      </c>
    </row>
    <row r="127" spans="1:33" x14ac:dyDescent="0.4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</row>
    <row r="128" spans="1:33" s="15" customFormat="1" ht="14.65" thickBot="1" x14ac:dyDescent="0.5">
      <c r="A128" s="13" t="s">
        <v>17</v>
      </c>
      <c r="B128" s="41">
        <v>5</v>
      </c>
      <c r="C128" s="41">
        <v>1.0720000000000001</v>
      </c>
      <c r="D128" s="41">
        <v>0.97499999999999998</v>
      </c>
      <c r="E128" s="41">
        <v>9.7000000000000003E-2</v>
      </c>
      <c r="F128" s="41">
        <v>49.2</v>
      </c>
      <c r="G128" s="41">
        <v>31.5</v>
      </c>
      <c r="H128" s="41">
        <v>19.3</v>
      </c>
      <c r="I128" s="41">
        <v>114.8</v>
      </c>
      <c r="J128" s="41">
        <v>33.4</v>
      </c>
      <c r="K128" s="41">
        <v>42.5</v>
      </c>
      <c r="L128" s="41">
        <v>54.5</v>
      </c>
      <c r="M128" s="41"/>
      <c r="N128" s="41">
        <v>0.35</v>
      </c>
      <c r="O128" s="41">
        <v>73</v>
      </c>
      <c r="P128" s="41">
        <v>0.93799999999999994</v>
      </c>
      <c r="Q128" s="41">
        <v>-3</v>
      </c>
      <c r="R128" s="41">
        <v>61.8</v>
      </c>
      <c r="S128" s="41">
        <v>31.2</v>
      </c>
      <c r="T128" s="61">
        <v>0.72499999999999998</v>
      </c>
      <c r="U128" s="41">
        <v>19.3</v>
      </c>
      <c r="V128" s="41">
        <v>30.8</v>
      </c>
      <c r="W128" s="41">
        <v>39.1</v>
      </c>
      <c r="X128" s="41">
        <v>5.8000000000000003E-2</v>
      </c>
      <c r="Y128" s="41">
        <v>46.3</v>
      </c>
      <c r="Z128" s="41">
        <v>7.1999999999999995E-2</v>
      </c>
      <c r="AA128" s="41">
        <v>0.155</v>
      </c>
      <c r="AB128" s="41">
        <v>0.153</v>
      </c>
      <c r="AC128" s="41">
        <v>0.28499999999999998</v>
      </c>
      <c r="AD128" s="68">
        <v>0.75</v>
      </c>
      <c r="AE128" s="41">
        <v>25</v>
      </c>
      <c r="AF128" s="41">
        <v>9</v>
      </c>
      <c r="AG128" s="41">
        <v>7</v>
      </c>
    </row>
    <row r="129" spans="1:33" x14ac:dyDescent="0.45">
      <c r="A129" s="1" t="s">
        <v>71</v>
      </c>
      <c r="B129" s="2">
        <v>12</v>
      </c>
      <c r="C129" s="2">
        <v>1.131</v>
      </c>
      <c r="D129" s="2">
        <v>0.91200000000000003</v>
      </c>
      <c r="E129" s="2">
        <v>0.219</v>
      </c>
      <c r="F129" s="2">
        <v>41.8</v>
      </c>
      <c r="G129" s="2">
        <v>39.700000000000003</v>
      </c>
      <c r="H129" s="2">
        <v>18.399999999999999</v>
      </c>
      <c r="I129" s="2">
        <v>116.7</v>
      </c>
      <c r="J129" s="2">
        <v>36.5</v>
      </c>
      <c r="K129" s="2">
        <v>49.6</v>
      </c>
      <c r="L129" s="2">
        <v>55.4</v>
      </c>
      <c r="M129" s="2"/>
      <c r="N129" s="2">
        <v>0.33800000000000002</v>
      </c>
      <c r="O129" s="2">
        <v>68.900000000000006</v>
      </c>
      <c r="P129" s="2">
        <v>0.97</v>
      </c>
      <c r="Q129" s="2">
        <v>6</v>
      </c>
      <c r="R129" s="2">
        <v>62.1</v>
      </c>
      <c r="S129" s="2">
        <v>22.8</v>
      </c>
      <c r="T129" s="25">
        <v>0.749</v>
      </c>
      <c r="U129" s="2">
        <v>13.1</v>
      </c>
      <c r="V129" s="2">
        <v>33.1</v>
      </c>
      <c r="W129" s="2">
        <v>44.4</v>
      </c>
      <c r="X129" s="2">
        <v>0.04</v>
      </c>
      <c r="Y129" s="2">
        <v>47.7</v>
      </c>
      <c r="Z129" s="2">
        <v>0.13700000000000001</v>
      </c>
      <c r="AA129" s="2">
        <v>0.16300000000000001</v>
      </c>
      <c r="AB129" s="2">
        <v>0.22600000000000001</v>
      </c>
      <c r="AC129" s="2">
        <v>0.29799999999999999</v>
      </c>
      <c r="AD129" s="67">
        <v>0.5</v>
      </c>
      <c r="AE129" s="2">
        <v>30</v>
      </c>
      <c r="AF129" s="2">
        <v>4</v>
      </c>
      <c r="AG129" s="2">
        <v>230</v>
      </c>
    </row>
    <row r="130" spans="1:33" x14ac:dyDescent="0.4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</row>
    <row r="131" spans="1:33" x14ac:dyDescent="0.45">
      <c r="A131" s="1" t="s">
        <v>2</v>
      </c>
      <c r="B131" s="2">
        <v>6</v>
      </c>
      <c r="C131" s="2">
        <v>1.143</v>
      </c>
      <c r="D131" s="2">
        <v>1</v>
      </c>
      <c r="E131" s="2">
        <v>0.14299999999999999</v>
      </c>
      <c r="F131" s="2">
        <v>45.3</v>
      </c>
      <c r="G131" s="2">
        <v>38.700000000000003</v>
      </c>
      <c r="H131" s="2">
        <v>16</v>
      </c>
      <c r="I131" s="2">
        <v>118.5</v>
      </c>
      <c r="J131" s="2">
        <v>37.1</v>
      </c>
      <c r="K131" s="2">
        <v>48.3</v>
      </c>
      <c r="L131" s="2">
        <v>57.2</v>
      </c>
      <c r="M131" s="2"/>
      <c r="N131" s="2">
        <v>0.30199999999999999</v>
      </c>
      <c r="O131" s="2">
        <v>70.900000000000006</v>
      </c>
      <c r="P131" s="2">
        <v>0.96199999999999997</v>
      </c>
      <c r="Q131" s="2">
        <v>1.3</v>
      </c>
      <c r="R131" s="2">
        <v>63.9</v>
      </c>
      <c r="S131" s="2">
        <v>31.6</v>
      </c>
      <c r="T131" s="25">
        <v>0.75700000000000001</v>
      </c>
      <c r="U131" s="2">
        <v>17.100000000000001</v>
      </c>
      <c r="V131" s="2">
        <v>35.700000000000003</v>
      </c>
      <c r="W131" s="2">
        <v>46.2</v>
      </c>
      <c r="X131" s="2">
        <v>5.3999999999999999E-2</v>
      </c>
      <c r="Y131" s="2">
        <v>50.6</v>
      </c>
      <c r="Z131" s="2">
        <v>0.1</v>
      </c>
      <c r="AA131" s="2">
        <v>0.188</v>
      </c>
      <c r="AB131" s="2">
        <v>0.16500000000000001</v>
      </c>
      <c r="AC131" s="2">
        <v>0.29499999999999998</v>
      </c>
      <c r="AD131" s="67">
        <v>0.625</v>
      </c>
      <c r="AE131" s="2">
        <v>24</v>
      </c>
      <c r="AF131" s="2">
        <v>9</v>
      </c>
      <c r="AG131" s="2">
        <v>53</v>
      </c>
    </row>
    <row r="132" spans="1:33" s="15" customFormat="1" ht="14.65" thickBot="1" x14ac:dyDescent="0.5">
      <c r="A132" s="13" t="s">
        <v>5</v>
      </c>
      <c r="B132" s="41">
        <v>11</v>
      </c>
      <c r="C132" s="41">
        <v>1.117</v>
      </c>
      <c r="D132" s="41">
        <v>0.91400000000000003</v>
      </c>
      <c r="E132" s="41">
        <v>0.20300000000000001</v>
      </c>
      <c r="F132" s="41">
        <v>43.9</v>
      </c>
      <c r="G132" s="41">
        <v>37.799999999999997</v>
      </c>
      <c r="H132" s="41">
        <v>18.3</v>
      </c>
      <c r="I132" s="41">
        <v>111.5</v>
      </c>
      <c r="J132" s="41">
        <v>33.5</v>
      </c>
      <c r="K132" s="41">
        <v>47.4</v>
      </c>
      <c r="L132" s="41">
        <v>52.4</v>
      </c>
      <c r="M132" s="41"/>
      <c r="N132" s="41">
        <v>0.32200000000000001</v>
      </c>
      <c r="O132" s="41">
        <v>68.400000000000006</v>
      </c>
      <c r="P132" s="41">
        <v>1.0069999999999999</v>
      </c>
      <c r="Q132" s="41">
        <v>5.4</v>
      </c>
      <c r="R132" s="41">
        <v>58.5</v>
      </c>
      <c r="S132" s="41">
        <v>36.299999999999997</v>
      </c>
      <c r="T132" s="61">
        <v>0.72699999999999998</v>
      </c>
      <c r="U132" s="41">
        <v>16.399999999999999</v>
      </c>
      <c r="V132" s="41">
        <v>30.7</v>
      </c>
      <c r="W132" s="41">
        <v>35.4</v>
      </c>
      <c r="X132" s="41">
        <v>9.9000000000000005E-2</v>
      </c>
      <c r="Y132" s="41">
        <v>44.4</v>
      </c>
      <c r="Z132" s="41">
        <v>0.12</v>
      </c>
      <c r="AA132" s="41">
        <v>0.14399999999999999</v>
      </c>
      <c r="AB132" s="41">
        <v>0.2</v>
      </c>
      <c r="AC132" s="41">
        <v>0.36099999999999999</v>
      </c>
      <c r="AD132" s="68">
        <v>0.33300000000000002</v>
      </c>
      <c r="AE132" s="41">
        <v>28</v>
      </c>
      <c r="AF132" s="41">
        <v>6</v>
      </c>
      <c r="AG132" s="41">
        <v>104</v>
      </c>
    </row>
    <row r="133" spans="1:33" x14ac:dyDescent="0.4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</row>
    <row r="134" spans="1:33" x14ac:dyDescent="0.45">
      <c r="A134" s="1" t="s">
        <v>19</v>
      </c>
      <c r="B134" s="2">
        <v>6</v>
      </c>
      <c r="C134" s="2">
        <v>1.0760000000000001</v>
      </c>
      <c r="D134" s="2">
        <v>1</v>
      </c>
      <c r="E134" s="2">
        <v>7.5999999999999998E-2</v>
      </c>
      <c r="F134" s="2">
        <v>47.4</v>
      </c>
      <c r="G134" s="2">
        <v>32.200000000000003</v>
      </c>
      <c r="H134" s="2">
        <v>20.399999999999999</v>
      </c>
      <c r="I134" s="2">
        <v>110.7</v>
      </c>
      <c r="J134" s="2">
        <v>34.1</v>
      </c>
      <c r="K134" s="2">
        <v>40.200000000000003</v>
      </c>
      <c r="L134" s="2">
        <v>51.1</v>
      </c>
      <c r="M134" s="2"/>
      <c r="N134" s="2">
        <v>0.35599999999999998</v>
      </c>
      <c r="O134" s="2">
        <v>71.7</v>
      </c>
      <c r="P134" s="2">
        <v>0.97599999999999998</v>
      </c>
      <c r="Q134" s="2">
        <v>3.7</v>
      </c>
      <c r="R134" s="2">
        <v>57.3</v>
      </c>
      <c r="S134" s="2">
        <v>22.8</v>
      </c>
      <c r="T134" s="25">
        <v>0.72099999999999997</v>
      </c>
      <c r="U134" s="2">
        <v>12.4</v>
      </c>
      <c r="V134" s="2">
        <v>32.5</v>
      </c>
      <c r="W134" s="2">
        <v>43.5</v>
      </c>
      <c r="X134" s="2">
        <v>6.7000000000000004E-2</v>
      </c>
      <c r="Y134" s="2">
        <v>50.5</v>
      </c>
      <c r="Z134" s="2">
        <v>0.122</v>
      </c>
      <c r="AA134" s="2">
        <v>0.19500000000000001</v>
      </c>
      <c r="AB134" s="2">
        <v>0.19800000000000001</v>
      </c>
      <c r="AC134" s="2">
        <v>0.39400000000000002</v>
      </c>
      <c r="AD134" s="67">
        <v>0.58299999999999996</v>
      </c>
      <c r="AE134" s="2">
        <v>22</v>
      </c>
      <c r="AF134" s="2">
        <v>11</v>
      </c>
      <c r="AG134" s="2">
        <v>29</v>
      </c>
    </row>
    <row r="135" spans="1:33" x14ac:dyDescent="0.45">
      <c r="A135" s="1" t="s">
        <v>91</v>
      </c>
      <c r="B135" s="2">
        <v>11</v>
      </c>
      <c r="C135" s="2">
        <v>1.107</v>
      </c>
      <c r="D135" s="2">
        <v>1.024</v>
      </c>
      <c r="E135" s="2">
        <v>8.3000000000000004E-2</v>
      </c>
      <c r="F135" s="2">
        <v>51.2</v>
      </c>
      <c r="G135" s="2">
        <v>29.6</v>
      </c>
      <c r="H135" s="2">
        <v>19.2</v>
      </c>
      <c r="I135" s="2">
        <v>115</v>
      </c>
      <c r="J135" s="2">
        <v>35.6</v>
      </c>
      <c r="K135" s="2">
        <v>37.200000000000003</v>
      </c>
      <c r="L135" s="2">
        <v>54.1</v>
      </c>
      <c r="M135" s="2"/>
      <c r="N135" s="2">
        <v>0.34799999999999998</v>
      </c>
      <c r="O135" s="2">
        <v>73</v>
      </c>
      <c r="P135" s="2">
        <v>0.96</v>
      </c>
      <c r="Q135" s="2">
        <v>-0.5</v>
      </c>
      <c r="R135" s="2">
        <v>60.9</v>
      </c>
      <c r="S135" s="2">
        <v>25.5</v>
      </c>
      <c r="T135" s="25">
        <v>0.751</v>
      </c>
      <c r="U135" s="2">
        <v>14.7</v>
      </c>
      <c r="V135" s="2">
        <v>33.5</v>
      </c>
      <c r="W135" s="2">
        <v>38.1</v>
      </c>
      <c r="X135" s="2">
        <v>5.8999999999999997E-2</v>
      </c>
      <c r="Y135" s="2">
        <v>49.5</v>
      </c>
      <c r="Z135" s="2">
        <v>8.2000000000000003E-2</v>
      </c>
      <c r="AA135" s="2">
        <v>0.17299999999999999</v>
      </c>
      <c r="AB135" s="2">
        <v>0.14899999999999999</v>
      </c>
      <c r="AC135" s="2">
        <v>0.30499999999999999</v>
      </c>
      <c r="AD135" s="67">
        <v>0.54600000000000004</v>
      </c>
      <c r="AE135" s="2">
        <v>23</v>
      </c>
      <c r="AF135" s="2">
        <v>14</v>
      </c>
      <c r="AG135" s="2">
        <v>24</v>
      </c>
    </row>
    <row r="136" spans="1:33" x14ac:dyDescent="0.4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</row>
    <row r="137" spans="1:33" s="15" customFormat="1" ht="14.65" thickBot="1" x14ac:dyDescent="0.5">
      <c r="A137" s="13" t="s">
        <v>57</v>
      </c>
      <c r="B137" s="41">
        <v>6</v>
      </c>
      <c r="C137" s="41">
        <v>1.125</v>
      </c>
      <c r="D137" s="41">
        <v>1.0009999999999999</v>
      </c>
      <c r="E137" s="41">
        <v>0.124</v>
      </c>
      <c r="F137" s="41">
        <v>46.2</v>
      </c>
      <c r="G137" s="41">
        <v>33.799999999999997</v>
      </c>
      <c r="H137" s="41">
        <v>20</v>
      </c>
      <c r="I137" s="41">
        <v>112.7</v>
      </c>
      <c r="J137" s="41">
        <v>31.1</v>
      </c>
      <c r="K137" s="41">
        <v>46.9</v>
      </c>
      <c r="L137" s="41">
        <v>52.3</v>
      </c>
      <c r="M137" s="41"/>
      <c r="N137" s="41">
        <v>0.34599999999999997</v>
      </c>
      <c r="O137" s="41">
        <v>74.5</v>
      </c>
      <c r="P137" s="41">
        <v>1</v>
      </c>
      <c r="Q137" s="41">
        <v>0.5</v>
      </c>
      <c r="R137" s="41">
        <v>62.8</v>
      </c>
      <c r="S137" s="41">
        <v>35.299999999999997</v>
      </c>
      <c r="T137" s="61">
        <v>0.76900000000000002</v>
      </c>
      <c r="U137" s="41">
        <v>15.5</v>
      </c>
      <c r="V137" s="41">
        <v>33.6</v>
      </c>
      <c r="W137" s="41">
        <v>30.5</v>
      </c>
      <c r="X137" s="41">
        <v>6.4000000000000001E-2</v>
      </c>
      <c r="Y137" s="41">
        <v>47.3</v>
      </c>
      <c r="Z137" s="41">
        <v>5.8000000000000003E-2</v>
      </c>
      <c r="AA137" s="41">
        <v>0.17100000000000001</v>
      </c>
      <c r="AB137" s="41">
        <v>0.121</v>
      </c>
      <c r="AC137" s="41">
        <v>0.26800000000000002</v>
      </c>
      <c r="AD137" s="68">
        <v>0.5</v>
      </c>
      <c r="AE137" s="41">
        <v>21</v>
      </c>
      <c r="AF137" s="41">
        <v>12</v>
      </c>
      <c r="AG137" s="41">
        <v>11</v>
      </c>
    </row>
    <row r="138" spans="1:33" x14ac:dyDescent="0.45">
      <c r="A138" s="1" t="s">
        <v>73</v>
      </c>
      <c r="B138" s="2">
        <v>11</v>
      </c>
      <c r="C138" s="2">
        <v>1.093</v>
      </c>
      <c r="D138" s="2">
        <v>1.002</v>
      </c>
      <c r="E138" s="2">
        <v>9.0999999999999998E-2</v>
      </c>
      <c r="F138" s="2">
        <v>46.7</v>
      </c>
      <c r="G138" s="2">
        <v>32.200000000000003</v>
      </c>
      <c r="H138" s="2">
        <v>21.1</v>
      </c>
      <c r="I138" s="2">
        <v>116.7</v>
      </c>
      <c r="J138" s="2">
        <v>39.1</v>
      </c>
      <c r="K138" s="2">
        <v>37.6</v>
      </c>
      <c r="L138" s="2">
        <v>54.1</v>
      </c>
      <c r="M138" s="2"/>
      <c r="N138" s="2">
        <v>0.36699999999999999</v>
      </c>
      <c r="O138" s="2">
        <v>71.400000000000006</v>
      </c>
      <c r="P138" s="2">
        <v>0.93100000000000005</v>
      </c>
      <c r="Q138" s="2">
        <v>-0.1</v>
      </c>
      <c r="R138" s="2">
        <v>57.7</v>
      </c>
      <c r="S138" s="2">
        <v>20.9</v>
      </c>
      <c r="T138" s="25">
        <v>0.76400000000000001</v>
      </c>
      <c r="U138" s="2">
        <v>15.3</v>
      </c>
      <c r="V138" s="2">
        <v>34.4</v>
      </c>
      <c r="W138" s="2">
        <v>37.4</v>
      </c>
      <c r="X138" s="2">
        <v>4.2999999999999997E-2</v>
      </c>
      <c r="Y138" s="2">
        <v>51</v>
      </c>
      <c r="Z138" s="2">
        <v>0.108</v>
      </c>
      <c r="AA138" s="2">
        <v>0.20100000000000001</v>
      </c>
      <c r="AB138" s="2">
        <v>0.17199999999999999</v>
      </c>
      <c r="AC138" s="2">
        <v>0.28599999999999998</v>
      </c>
      <c r="AD138" s="67">
        <v>0.44400000000000001</v>
      </c>
      <c r="AE138" s="2">
        <v>22</v>
      </c>
      <c r="AF138" s="2">
        <v>12</v>
      </c>
      <c r="AG138" s="2">
        <v>49</v>
      </c>
    </row>
    <row r="139" spans="1:33" x14ac:dyDescent="0.4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</row>
    <row r="140" spans="1:33" x14ac:dyDescent="0.45">
      <c r="A140" s="2" t="s">
        <v>32</v>
      </c>
      <c r="B140" s="2">
        <v>6</v>
      </c>
      <c r="C140" s="2">
        <v>1.1779999999999999</v>
      </c>
      <c r="D140" s="2">
        <v>1.03</v>
      </c>
      <c r="E140" s="2">
        <v>0.14799999999999999</v>
      </c>
      <c r="F140" s="2">
        <v>45.2</v>
      </c>
      <c r="G140" s="2">
        <v>31.2</v>
      </c>
      <c r="H140" s="2">
        <v>23.6</v>
      </c>
      <c r="I140" s="2">
        <v>119.2</v>
      </c>
      <c r="J140" s="2">
        <v>37</v>
      </c>
      <c r="K140" s="2">
        <v>41.5</v>
      </c>
      <c r="L140" s="2">
        <v>56.2</v>
      </c>
      <c r="M140" s="2"/>
      <c r="N140" s="2">
        <v>0.46800000000000003</v>
      </c>
      <c r="O140" s="2">
        <v>71.7</v>
      </c>
      <c r="P140" s="2">
        <v>0.98299999999999998</v>
      </c>
      <c r="Q140" s="2">
        <v>3.4</v>
      </c>
      <c r="R140" s="2">
        <v>62.9</v>
      </c>
      <c r="S140" s="2">
        <v>32.6</v>
      </c>
      <c r="T140" s="25">
        <v>0.69299999999999995</v>
      </c>
      <c r="U140" s="2">
        <v>14.9</v>
      </c>
      <c r="V140" s="2">
        <v>33.6</v>
      </c>
      <c r="W140" s="2">
        <v>37.799999999999997</v>
      </c>
      <c r="X140" s="2">
        <v>4.5999999999999999E-2</v>
      </c>
      <c r="Y140" s="2">
        <v>50.7</v>
      </c>
      <c r="Z140" s="2">
        <v>0.13100000000000001</v>
      </c>
      <c r="AA140" s="2">
        <v>0.17499999999999999</v>
      </c>
      <c r="AB140" s="2">
        <v>0.19700000000000001</v>
      </c>
      <c r="AC140" s="2">
        <v>0.35299999999999998</v>
      </c>
      <c r="AD140" s="67">
        <v>0.33300000000000002</v>
      </c>
      <c r="AE140" s="2">
        <v>22</v>
      </c>
      <c r="AF140" s="2">
        <v>11</v>
      </c>
      <c r="AG140" s="2">
        <v>65</v>
      </c>
    </row>
    <row r="141" spans="1:33" x14ac:dyDescent="0.45">
      <c r="A141" s="2" t="s">
        <v>33</v>
      </c>
      <c r="B141" s="2">
        <v>11</v>
      </c>
      <c r="C141" s="2">
        <v>1.1100000000000001</v>
      </c>
      <c r="D141" s="2">
        <v>0.96499999999999997</v>
      </c>
      <c r="E141" s="2">
        <v>0.14499999999999999</v>
      </c>
      <c r="F141" s="2">
        <v>50.2</v>
      </c>
      <c r="G141" s="2">
        <v>28.1</v>
      </c>
      <c r="H141" s="2">
        <v>21.7</v>
      </c>
      <c r="I141" s="2">
        <v>114.4</v>
      </c>
      <c r="J141" s="2">
        <v>35</v>
      </c>
      <c r="K141" s="2">
        <v>36.799999999999997</v>
      </c>
      <c r="L141" s="2">
        <v>53.8</v>
      </c>
      <c r="M141" s="2"/>
      <c r="N141" s="2">
        <v>0.43</v>
      </c>
      <c r="O141" s="2">
        <v>61.9</v>
      </c>
      <c r="P141" s="2">
        <v>0.96499999999999997</v>
      </c>
      <c r="Q141" s="2">
        <v>5.3</v>
      </c>
      <c r="R141" s="2">
        <v>58.5</v>
      </c>
      <c r="S141" s="2">
        <v>35.9</v>
      </c>
      <c r="T141" s="25">
        <v>0.76900000000000002</v>
      </c>
      <c r="U141" s="2">
        <v>18.2</v>
      </c>
      <c r="V141" s="2">
        <v>31.2</v>
      </c>
      <c r="W141" s="2">
        <v>38.6</v>
      </c>
      <c r="X141" s="2">
        <v>5.1999999999999998E-2</v>
      </c>
      <c r="Y141" s="2">
        <v>51.7</v>
      </c>
      <c r="Z141" s="2">
        <v>0.14099999999999999</v>
      </c>
      <c r="AA141" s="2">
        <v>0.16400000000000001</v>
      </c>
      <c r="AB141" s="2">
        <v>0.214</v>
      </c>
      <c r="AC141" s="2">
        <v>0.35799999999999998</v>
      </c>
      <c r="AD141" s="67">
        <v>0.71399999999999997</v>
      </c>
      <c r="AE141" s="2">
        <v>30</v>
      </c>
      <c r="AF141" s="2">
        <v>3</v>
      </c>
      <c r="AG141" s="2">
        <v>142</v>
      </c>
    </row>
    <row r="142" spans="1:33" x14ac:dyDescent="0.4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</row>
    <row r="143" spans="1:33" s="15" customFormat="1" ht="14.65" thickBot="1" x14ac:dyDescent="0.5">
      <c r="A143" s="13" t="s">
        <v>35</v>
      </c>
      <c r="B143" s="41">
        <v>7</v>
      </c>
      <c r="C143" s="41">
        <v>1.0640000000000001</v>
      </c>
      <c r="D143" s="41">
        <v>0.96699999999999997</v>
      </c>
      <c r="E143" s="41">
        <v>9.7000000000000003E-2</v>
      </c>
      <c r="F143" s="41">
        <v>56.5</v>
      </c>
      <c r="G143" s="41">
        <v>29.3</v>
      </c>
      <c r="H143" s="41">
        <v>14.1</v>
      </c>
      <c r="I143" s="41">
        <v>110.8</v>
      </c>
      <c r="J143" s="41">
        <v>35.200000000000003</v>
      </c>
      <c r="K143" s="41">
        <v>34.299999999999997</v>
      </c>
      <c r="L143" s="41">
        <v>53.1</v>
      </c>
      <c r="M143" s="41"/>
      <c r="N143" s="41">
        <v>0.24299999999999999</v>
      </c>
      <c r="O143" s="41">
        <v>71.599999999999994</v>
      </c>
      <c r="P143" s="41">
        <v>0.95899999999999996</v>
      </c>
      <c r="Q143" s="41">
        <v>-0.9</v>
      </c>
      <c r="R143" s="41">
        <v>58.3</v>
      </c>
      <c r="S143" s="41">
        <v>28</v>
      </c>
      <c r="T143" s="61">
        <v>0.745</v>
      </c>
      <c r="U143" s="41">
        <v>16.3</v>
      </c>
      <c r="V143" s="41">
        <v>30.8</v>
      </c>
      <c r="W143" s="41">
        <v>40.6</v>
      </c>
      <c r="X143" s="41">
        <v>7.6999999999999999E-2</v>
      </c>
      <c r="Y143" s="41">
        <v>46.2</v>
      </c>
      <c r="Z143" s="41">
        <v>8.6999999999999994E-2</v>
      </c>
      <c r="AA143" s="41">
        <v>0.18</v>
      </c>
      <c r="AB143" s="41">
        <v>0.152</v>
      </c>
      <c r="AC143" s="41">
        <v>0.28000000000000003</v>
      </c>
      <c r="AD143" s="68">
        <v>0.66700000000000004</v>
      </c>
      <c r="AE143" s="41">
        <v>21</v>
      </c>
      <c r="AF143" s="41">
        <v>12</v>
      </c>
      <c r="AG143" s="41">
        <v>4</v>
      </c>
    </row>
    <row r="144" spans="1:33" s="15" customFormat="1" ht="14.65" thickBot="1" x14ac:dyDescent="0.5">
      <c r="A144" s="13" t="s">
        <v>36</v>
      </c>
      <c r="B144" s="41">
        <v>10</v>
      </c>
      <c r="C144" s="41">
        <v>1.06</v>
      </c>
      <c r="D144" s="41">
        <v>0.98399999999999999</v>
      </c>
      <c r="E144" s="41">
        <v>7.5999999999999998E-2</v>
      </c>
      <c r="F144" s="41">
        <v>52.4</v>
      </c>
      <c r="G144" s="41">
        <v>27.5</v>
      </c>
      <c r="H144" s="41">
        <v>20.100000000000001</v>
      </c>
      <c r="I144" s="41">
        <v>111.8</v>
      </c>
      <c r="J144" s="41">
        <v>33.299999999999997</v>
      </c>
      <c r="K144" s="41">
        <v>36.700000000000003</v>
      </c>
      <c r="L144" s="41">
        <v>52.7</v>
      </c>
      <c r="M144" s="41"/>
      <c r="N144" s="41">
        <v>0.35499999999999998</v>
      </c>
      <c r="O144" s="41">
        <v>72.3</v>
      </c>
      <c r="P144" s="41">
        <v>0.95</v>
      </c>
      <c r="Q144" s="41">
        <v>-1</v>
      </c>
      <c r="R144" s="41">
        <v>58.3</v>
      </c>
      <c r="S144" s="41">
        <v>25</v>
      </c>
      <c r="T144" s="61">
        <v>0.72</v>
      </c>
      <c r="U144" s="41">
        <v>16.100000000000001</v>
      </c>
      <c r="V144" s="41">
        <v>31.4</v>
      </c>
      <c r="W144" s="41">
        <v>38.9</v>
      </c>
      <c r="X144" s="41">
        <v>9.0999999999999998E-2</v>
      </c>
      <c r="Y144" s="41">
        <v>48.3</v>
      </c>
      <c r="Z144" s="41">
        <v>0.104</v>
      </c>
      <c r="AA144" s="41">
        <v>0.16900000000000001</v>
      </c>
      <c r="AB144" s="41">
        <v>0.16800000000000001</v>
      </c>
      <c r="AC144" s="41">
        <v>0.29399999999999998</v>
      </c>
      <c r="AD144" s="68">
        <v>0.54600000000000004</v>
      </c>
      <c r="AE144" s="41">
        <v>20</v>
      </c>
      <c r="AF144" s="41">
        <v>13</v>
      </c>
      <c r="AG144" s="41">
        <v>43</v>
      </c>
    </row>
    <row r="145" spans="1:33" x14ac:dyDescent="0.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</row>
    <row r="146" spans="1:33" x14ac:dyDescent="0.45">
      <c r="A146" s="1" t="s">
        <v>22</v>
      </c>
      <c r="B146" s="2">
        <v>7</v>
      </c>
      <c r="C146" s="2">
        <v>1.0920000000000001</v>
      </c>
      <c r="D146" s="2">
        <v>0.97299999999999998</v>
      </c>
      <c r="E146" s="2">
        <v>0.11899999999999999</v>
      </c>
      <c r="F146" s="2">
        <v>47.8</v>
      </c>
      <c r="G146" s="2">
        <v>37</v>
      </c>
      <c r="H146" s="2">
        <v>15.2</v>
      </c>
      <c r="I146" s="2">
        <v>109.2</v>
      </c>
      <c r="J146" s="2">
        <v>32.5</v>
      </c>
      <c r="K146" s="2">
        <v>46.3</v>
      </c>
      <c r="L146" s="2">
        <v>52.1</v>
      </c>
      <c r="M146" s="2"/>
      <c r="N146" s="2">
        <v>0.26100000000000001</v>
      </c>
      <c r="O146" s="2">
        <v>70.400000000000006</v>
      </c>
      <c r="P146" s="2">
        <v>0.997</v>
      </c>
      <c r="Q146" s="2">
        <v>5.9</v>
      </c>
      <c r="R146" s="2">
        <v>59.9</v>
      </c>
      <c r="S146" s="2">
        <v>28.1</v>
      </c>
      <c r="T146" s="25">
        <v>0.71599999999999997</v>
      </c>
      <c r="U146" s="2">
        <v>13.2</v>
      </c>
      <c r="V146" s="2">
        <v>31.7</v>
      </c>
      <c r="W146" s="2">
        <v>39.4</v>
      </c>
      <c r="X146" s="2">
        <v>6.5000000000000002E-2</v>
      </c>
      <c r="Y146" s="2">
        <v>49.9</v>
      </c>
      <c r="Z146" s="2">
        <v>0.127</v>
      </c>
      <c r="AA146" s="2">
        <v>0.20899999999999999</v>
      </c>
      <c r="AB146" s="2">
        <v>0.20899999999999999</v>
      </c>
      <c r="AC146" s="2">
        <v>0.30199999999999999</v>
      </c>
      <c r="AD146" s="67">
        <v>0.66700000000000004</v>
      </c>
      <c r="AE146" s="2">
        <v>23</v>
      </c>
      <c r="AF146" s="2">
        <v>10</v>
      </c>
      <c r="AG146" s="2">
        <v>15</v>
      </c>
    </row>
    <row r="147" spans="1:33" x14ac:dyDescent="0.45">
      <c r="A147" s="1" t="s">
        <v>23</v>
      </c>
      <c r="B147" s="2">
        <v>10</v>
      </c>
      <c r="C147" s="2">
        <v>1.0589999999999999</v>
      </c>
      <c r="D147" s="2">
        <v>0.93700000000000006</v>
      </c>
      <c r="E147" s="2">
        <v>0.122</v>
      </c>
      <c r="F147" s="2">
        <v>54.4</v>
      </c>
      <c r="G147" s="2">
        <v>25.5</v>
      </c>
      <c r="H147" s="2">
        <v>20.100000000000001</v>
      </c>
      <c r="I147" s="2">
        <v>108.1</v>
      </c>
      <c r="J147" s="2">
        <v>34.1</v>
      </c>
      <c r="K147" s="2">
        <v>32.200000000000003</v>
      </c>
      <c r="L147" s="2">
        <v>50.8</v>
      </c>
      <c r="M147" s="2"/>
      <c r="N147" s="2">
        <v>0.378</v>
      </c>
      <c r="O147" s="2">
        <v>75.5</v>
      </c>
      <c r="P147" s="2">
        <v>0.97799999999999998</v>
      </c>
      <c r="Q147" s="2">
        <v>5.7</v>
      </c>
      <c r="R147" s="2">
        <v>56.1</v>
      </c>
      <c r="S147" s="2">
        <v>28.9</v>
      </c>
      <c r="T147" s="25">
        <v>0.77200000000000002</v>
      </c>
      <c r="U147" s="2">
        <v>15.1</v>
      </c>
      <c r="V147" s="2">
        <v>33.799999999999997</v>
      </c>
      <c r="W147" s="2">
        <v>38.299999999999997</v>
      </c>
      <c r="X147" s="2">
        <v>8.5999999999999993E-2</v>
      </c>
      <c r="Y147" s="2">
        <v>49.2</v>
      </c>
      <c r="Z147" s="2">
        <v>0.113</v>
      </c>
      <c r="AA147" s="2">
        <v>0.19600000000000001</v>
      </c>
      <c r="AB147" s="2">
        <v>0.19700000000000001</v>
      </c>
      <c r="AC147" s="2">
        <v>0.35</v>
      </c>
      <c r="AD147" s="67">
        <v>0.625</v>
      </c>
      <c r="AE147" s="2">
        <v>26</v>
      </c>
      <c r="AF147" s="2">
        <v>7</v>
      </c>
      <c r="AG147" s="2">
        <v>87</v>
      </c>
    </row>
    <row r="148" spans="1:33" x14ac:dyDescent="0.4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</row>
    <row r="149" spans="1:33" x14ac:dyDescent="0.45">
      <c r="A149" s="2" t="s">
        <v>3</v>
      </c>
      <c r="B149" s="2">
        <v>7</v>
      </c>
      <c r="C149" s="2">
        <v>1.103</v>
      </c>
      <c r="D149" s="2">
        <v>0.97</v>
      </c>
      <c r="E149" s="2">
        <v>0.13300000000000001</v>
      </c>
      <c r="F149" s="2">
        <v>52.1</v>
      </c>
      <c r="G149" s="2">
        <v>30</v>
      </c>
      <c r="H149" s="2">
        <v>17.8</v>
      </c>
      <c r="I149" s="2">
        <v>111.5</v>
      </c>
      <c r="J149" s="2">
        <v>35.200000000000003</v>
      </c>
      <c r="K149" s="2">
        <v>36</v>
      </c>
      <c r="L149" s="2">
        <v>53</v>
      </c>
      <c r="M149" s="2"/>
      <c r="N149" s="2">
        <v>0.32900000000000001</v>
      </c>
      <c r="O149" s="2">
        <v>67.7</v>
      </c>
      <c r="P149" s="2">
        <v>0.98499999999999999</v>
      </c>
      <c r="Q149" s="2">
        <v>6.1</v>
      </c>
      <c r="R149" s="2">
        <v>56.7</v>
      </c>
      <c r="S149" s="2">
        <v>32.1</v>
      </c>
      <c r="T149" s="25">
        <v>0.71799999999999997</v>
      </c>
      <c r="U149" s="2">
        <v>15.6</v>
      </c>
      <c r="V149" s="2">
        <v>32.799999999999997</v>
      </c>
      <c r="W149" s="2">
        <v>45</v>
      </c>
      <c r="X149" s="2">
        <v>6.0999999999999999E-2</v>
      </c>
      <c r="Y149" s="2">
        <v>50.5</v>
      </c>
      <c r="Z149" s="2">
        <v>0.12</v>
      </c>
      <c r="AA149" s="2">
        <v>0.191</v>
      </c>
      <c r="AB149" s="2">
        <v>0.224</v>
      </c>
      <c r="AC149" s="2">
        <v>0.34599999999999997</v>
      </c>
      <c r="AD149" s="67">
        <v>0.72699999999999998</v>
      </c>
      <c r="AE149" s="2">
        <v>22</v>
      </c>
      <c r="AF149" s="2">
        <v>10</v>
      </c>
      <c r="AG149" s="2">
        <v>50</v>
      </c>
    </row>
    <row r="150" spans="1:33" x14ac:dyDescent="0.45">
      <c r="A150" s="1" t="s">
        <v>60</v>
      </c>
      <c r="B150" s="2">
        <v>10</v>
      </c>
      <c r="C150" s="2">
        <v>1.1519999999999999</v>
      </c>
      <c r="D150" s="2">
        <v>1.018</v>
      </c>
      <c r="E150" s="2">
        <v>0.13400000000000001</v>
      </c>
      <c r="F150" s="2">
        <v>48.3</v>
      </c>
      <c r="G150" s="2">
        <v>32.700000000000003</v>
      </c>
      <c r="H150" s="2">
        <v>19</v>
      </c>
      <c r="I150" s="2">
        <v>116.1</v>
      </c>
      <c r="J150" s="2">
        <v>35.799999999999997</v>
      </c>
      <c r="K150" s="2">
        <v>42.3</v>
      </c>
      <c r="L150" s="2">
        <v>56</v>
      </c>
      <c r="M150" s="2"/>
      <c r="N150" s="2">
        <v>0.376</v>
      </c>
      <c r="O150" s="2">
        <v>69.2</v>
      </c>
      <c r="P150" s="2">
        <v>0.98399999999999999</v>
      </c>
      <c r="Q150" s="2">
        <v>4.3</v>
      </c>
      <c r="R150" s="2">
        <v>63.8</v>
      </c>
      <c r="S150" s="2">
        <v>32.1</v>
      </c>
      <c r="T150" s="25">
        <v>0.72699999999999998</v>
      </c>
      <c r="U150" s="2">
        <v>15.5</v>
      </c>
      <c r="V150" s="2">
        <v>34</v>
      </c>
      <c r="W150" s="2">
        <v>44.4</v>
      </c>
      <c r="X150" s="2">
        <v>5.1999999999999998E-2</v>
      </c>
      <c r="Y150" s="2">
        <v>51.8</v>
      </c>
      <c r="Z150" s="2">
        <v>0.121</v>
      </c>
      <c r="AA150" s="2">
        <v>0.20699999999999999</v>
      </c>
      <c r="AB150" s="2">
        <v>0.19500000000000001</v>
      </c>
      <c r="AC150" s="2">
        <v>0.36199999999999999</v>
      </c>
      <c r="AD150" s="67">
        <v>0.72699999999999998</v>
      </c>
      <c r="AE150" s="2">
        <v>26</v>
      </c>
      <c r="AF150" s="2">
        <v>7</v>
      </c>
      <c r="AG150" s="2">
        <v>91</v>
      </c>
    </row>
    <row r="151" spans="1:33" x14ac:dyDescent="0.4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</row>
    <row r="152" spans="1:33" x14ac:dyDescent="0.45">
      <c r="A152" s="1" t="s">
        <v>47</v>
      </c>
      <c r="B152" s="2">
        <v>7</v>
      </c>
      <c r="C152" s="2">
        <v>1.1180000000000001</v>
      </c>
      <c r="D152" s="2">
        <v>0.93500000000000005</v>
      </c>
      <c r="E152" s="2">
        <v>0.183</v>
      </c>
      <c r="F152" s="2">
        <v>56</v>
      </c>
      <c r="G152" s="2">
        <v>26.3</v>
      </c>
      <c r="H152" s="2">
        <v>17.7</v>
      </c>
      <c r="I152" s="2">
        <v>106.4</v>
      </c>
      <c r="J152" s="2">
        <v>32.700000000000003</v>
      </c>
      <c r="K152" s="2">
        <v>33.299999999999997</v>
      </c>
      <c r="L152" s="2">
        <v>50.9</v>
      </c>
      <c r="M152" s="2"/>
      <c r="N152" s="2">
        <v>0.314</v>
      </c>
      <c r="O152" s="2">
        <v>65.599999999999994</v>
      </c>
      <c r="P152" s="2">
        <v>1.038</v>
      </c>
      <c r="Q152" s="2">
        <v>6.2</v>
      </c>
      <c r="R152" s="2">
        <v>55.3</v>
      </c>
      <c r="S152" s="2">
        <v>39.200000000000003</v>
      </c>
      <c r="T152" s="25">
        <v>0.77900000000000003</v>
      </c>
      <c r="U152" s="2">
        <v>14.8</v>
      </c>
      <c r="V152" s="2">
        <v>31.4</v>
      </c>
      <c r="W152" s="2">
        <v>31.8</v>
      </c>
      <c r="X152" s="2">
        <v>7.1999999999999995E-2</v>
      </c>
      <c r="Y152" s="2">
        <v>46.2</v>
      </c>
      <c r="Z152" s="2">
        <v>9.2999999999999999E-2</v>
      </c>
      <c r="AA152" s="2">
        <v>0.189</v>
      </c>
      <c r="AB152" s="2">
        <v>0.159</v>
      </c>
      <c r="AC152" s="2">
        <v>0.25</v>
      </c>
      <c r="AD152" s="67">
        <v>0.625</v>
      </c>
      <c r="AE152" s="2">
        <v>28</v>
      </c>
      <c r="AF152" s="2">
        <v>5</v>
      </c>
      <c r="AG152" s="2">
        <v>92</v>
      </c>
    </row>
    <row r="153" spans="1:33" x14ac:dyDescent="0.45">
      <c r="A153" s="2" t="s">
        <v>48</v>
      </c>
      <c r="B153" s="2">
        <v>10</v>
      </c>
      <c r="C153" s="2">
        <v>1.1040000000000001</v>
      </c>
      <c r="D153" s="2">
        <v>1.0369999999999999</v>
      </c>
      <c r="E153" s="2">
        <v>6.7000000000000004E-2</v>
      </c>
      <c r="F153" s="2">
        <v>49.8</v>
      </c>
      <c r="G153" s="2">
        <v>30.8</v>
      </c>
      <c r="H153" s="2">
        <v>19.399999999999999</v>
      </c>
      <c r="I153" s="2">
        <v>110.5</v>
      </c>
      <c r="J153" s="2">
        <v>32.5</v>
      </c>
      <c r="K153" s="2">
        <v>40.200000000000003</v>
      </c>
      <c r="L153" s="2">
        <v>51.7</v>
      </c>
      <c r="M153" s="2"/>
      <c r="N153" s="2">
        <v>0.34</v>
      </c>
      <c r="O153" s="2">
        <v>72.099999999999994</v>
      </c>
      <c r="P153" s="2">
        <v>0.99299999999999999</v>
      </c>
      <c r="Q153" s="2">
        <v>5.2</v>
      </c>
      <c r="R153" s="2">
        <v>60.5</v>
      </c>
      <c r="S153" s="2">
        <v>29.7</v>
      </c>
      <c r="T153" s="25">
        <v>0.72299999999999998</v>
      </c>
      <c r="U153" s="2">
        <v>14.4</v>
      </c>
      <c r="V153" s="2">
        <v>36.6</v>
      </c>
      <c r="W153" s="2">
        <v>37.700000000000003</v>
      </c>
      <c r="X153" s="2">
        <v>7.0000000000000007E-2</v>
      </c>
      <c r="Y153" s="2">
        <v>52.9</v>
      </c>
      <c r="Z153" s="2">
        <v>0.125</v>
      </c>
      <c r="AA153" s="2">
        <v>0.16800000000000001</v>
      </c>
      <c r="AB153" s="2">
        <v>0.19400000000000001</v>
      </c>
      <c r="AC153" s="2">
        <v>0.39</v>
      </c>
      <c r="AD153" s="67">
        <v>0.875</v>
      </c>
      <c r="AE153" s="2">
        <v>20</v>
      </c>
      <c r="AF153" s="2">
        <v>12</v>
      </c>
      <c r="AG153" s="2">
        <v>58</v>
      </c>
    </row>
    <row r="154" spans="1:33" x14ac:dyDescent="0.4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</row>
    <row r="155" spans="1:33" x14ac:dyDescent="0.45">
      <c r="A155" s="1" t="s">
        <v>15</v>
      </c>
      <c r="B155" s="2">
        <v>8</v>
      </c>
      <c r="C155" s="2">
        <v>1.1120000000000001</v>
      </c>
      <c r="D155" s="2">
        <v>0.97499999999999998</v>
      </c>
      <c r="E155" s="2">
        <v>0.13700000000000001</v>
      </c>
      <c r="F155" s="2">
        <v>45.1</v>
      </c>
      <c r="G155" s="2">
        <v>35.799999999999997</v>
      </c>
      <c r="H155" s="2">
        <v>19.100000000000001</v>
      </c>
      <c r="I155" s="2">
        <v>113.4</v>
      </c>
      <c r="J155" s="2">
        <v>33</v>
      </c>
      <c r="K155" s="2">
        <v>48.1</v>
      </c>
      <c r="L155" s="2">
        <v>53.4</v>
      </c>
      <c r="M155" s="2"/>
      <c r="N155" s="2">
        <v>0.34499999999999997</v>
      </c>
      <c r="O155" s="2">
        <v>70.7</v>
      </c>
      <c r="P155" s="2">
        <v>0.97699999999999998</v>
      </c>
      <c r="Q155" s="2">
        <v>2.9</v>
      </c>
      <c r="R155" s="2">
        <v>63</v>
      </c>
      <c r="S155" s="2">
        <v>31</v>
      </c>
      <c r="T155" s="25">
        <v>0.749</v>
      </c>
      <c r="U155" s="2">
        <v>16.2</v>
      </c>
      <c r="V155" s="2">
        <v>34.1</v>
      </c>
      <c r="W155" s="2">
        <v>39.799999999999997</v>
      </c>
      <c r="X155" s="2">
        <v>4.9000000000000002E-2</v>
      </c>
      <c r="Y155" s="2">
        <v>49.2</v>
      </c>
      <c r="Z155" s="2">
        <v>0.09</v>
      </c>
      <c r="AA155" s="2">
        <v>0.16700000000000001</v>
      </c>
      <c r="AB155" s="2">
        <v>0.18099999999999999</v>
      </c>
      <c r="AC155" s="2">
        <v>0.26800000000000002</v>
      </c>
      <c r="AD155" s="67">
        <v>0.85699999999999998</v>
      </c>
      <c r="AE155" s="2">
        <v>27</v>
      </c>
      <c r="AF155" s="2">
        <v>7</v>
      </c>
      <c r="AG155" s="2">
        <v>36</v>
      </c>
    </row>
    <row r="156" spans="1:33" s="15" customFormat="1" ht="14.65" thickBot="1" x14ac:dyDescent="0.5">
      <c r="A156" s="13" t="s">
        <v>16</v>
      </c>
      <c r="B156" s="41">
        <v>9</v>
      </c>
      <c r="C156" s="41">
        <v>1.0820000000000001</v>
      </c>
      <c r="D156" s="41">
        <v>1</v>
      </c>
      <c r="E156" s="41">
        <v>8.2000000000000003E-2</v>
      </c>
      <c r="F156" s="41">
        <v>46.4</v>
      </c>
      <c r="G156" s="41">
        <v>38</v>
      </c>
      <c r="H156" s="41">
        <v>15.6</v>
      </c>
      <c r="I156" s="41">
        <v>117.2</v>
      </c>
      <c r="J156" s="41">
        <v>33.9</v>
      </c>
      <c r="K156" s="41">
        <v>49</v>
      </c>
      <c r="L156" s="41">
        <v>55.8</v>
      </c>
      <c r="M156" s="41"/>
      <c r="N156" s="41">
        <v>0.28499999999999998</v>
      </c>
      <c r="O156" s="41">
        <v>69.5</v>
      </c>
      <c r="P156" s="41">
        <v>0.92900000000000005</v>
      </c>
      <c r="Q156" s="41">
        <v>-6.2</v>
      </c>
      <c r="R156" s="41">
        <v>67.8</v>
      </c>
      <c r="S156" s="41">
        <v>25.4</v>
      </c>
      <c r="T156" s="61">
        <v>0.746</v>
      </c>
      <c r="U156" s="41">
        <v>17.7</v>
      </c>
      <c r="V156" s="41">
        <v>32.6</v>
      </c>
      <c r="W156" s="41">
        <v>35.299999999999997</v>
      </c>
      <c r="X156" s="41">
        <v>6.8000000000000005E-2</v>
      </c>
      <c r="Y156" s="41">
        <v>47</v>
      </c>
      <c r="Z156" s="41">
        <v>5.1999999999999998E-2</v>
      </c>
      <c r="AA156" s="41">
        <v>0.16700000000000001</v>
      </c>
      <c r="AB156" s="41">
        <v>0.114</v>
      </c>
      <c r="AC156" s="41">
        <v>0.16900000000000001</v>
      </c>
      <c r="AD156" s="68">
        <v>0.75</v>
      </c>
      <c r="AE156" s="41">
        <v>24</v>
      </c>
      <c r="AF156" s="41">
        <v>10</v>
      </c>
      <c r="AG156" s="41">
        <v>22</v>
      </c>
    </row>
    <row r="157" spans="1:33" x14ac:dyDescent="0.4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</row>
    <row r="158" spans="1:33" s="15" customFormat="1" ht="14.65" thickBot="1" x14ac:dyDescent="0.5">
      <c r="A158" s="13" t="s">
        <v>52</v>
      </c>
      <c r="B158" s="41">
        <v>8</v>
      </c>
      <c r="C158" s="41">
        <v>1.181</v>
      </c>
      <c r="D158" s="41">
        <v>0.95</v>
      </c>
      <c r="E158" s="41">
        <v>0.23100000000000001</v>
      </c>
      <c r="F158" s="41">
        <v>55.9</v>
      </c>
      <c r="G158" s="41">
        <v>26.1</v>
      </c>
      <c r="H158" s="41">
        <v>18</v>
      </c>
      <c r="I158" s="41">
        <v>119.3</v>
      </c>
      <c r="J158" s="41">
        <v>34.4</v>
      </c>
      <c r="K158" s="41">
        <v>33.5</v>
      </c>
      <c r="L158" s="41">
        <v>55.7</v>
      </c>
      <c r="M158" s="41"/>
      <c r="N158" s="41">
        <v>0.309</v>
      </c>
      <c r="O158" s="41">
        <v>73.3</v>
      </c>
      <c r="P158" s="41">
        <v>0.995</v>
      </c>
      <c r="Q158" s="41">
        <v>4.5999999999999996</v>
      </c>
      <c r="R158" s="41">
        <v>62.7</v>
      </c>
      <c r="S158" s="41">
        <v>30.4</v>
      </c>
      <c r="T158" s="61">
        <v>0.76400000000000001</v>
      </c>
      <c r="U158" s="41">
        <v>12.9</v>
      </c>
      <c r="V158" s="41">
        <v>30.3</v>
      </c>
      <c r="W158" s="41">
        <v>40.200000000000003</v>
      </c>
      <c r="X158" s="41">
        <v>4.9000000000000002E-2</v>
      </c>
      <c r="Y158" s="41">
        <v>47.6</v>
      </c>
      <c r="Z158" s="41">
        <v>0.10199999999999999</v>
      </c>
      <c r="AA158" s="41">
        <v>0.16800000000000001</v>
      </c>
      <c r="AB158" s="41">
        <v>0.17499999999999999</v>
      </c>
      <c r="AC158" s="41">
        <v>0.28599999999999998</v>
      </c>
      <c r="AD158" s="68">
        <v>0</v>
      </c>
      <c r="AE158" s="41">
        <v>25</v>
      </c>
      <c r="AF158" s="41">
        <v>8</v>
      </c>
      <c r="AG158" s="41">
        <v>82</v>
      </c>
    </row>
    <row r="159" spans="1:33" x14ac:dyDescent="0.45">
      <c r="A159" s="1" t="s">
        <v>53</v>
      </c>
      <c r="B159" s="2">
        <v>9</v>
      </c>
      <c r="C159" s="2">
        <v>1.073</v>
      </c>
      <c r="D159" s="2">
        <v>0.98399999999999999</v>
      </c>
      <c r="E159" s="2">
        <v>8.8999999999999996E-2</v>
      </c>
      <c r="F159" s="2">
        <v>50.8</v>
      </c>
      <c r="G159" s="2">
        <v>27.5</v>
      </c>
      <c r="H159" s="2">
        <v>21.6</v>
      </c>
      <c r="I159" s="2">
        <v>111.7</v>
      </c>
      <c r="J159" s="2">
        <v>33.5</v>
      </c>
      <c r="K159" s="2">
        <v>36.799999999999997</v>
      </c>
      <c r="L159" s="2">
        <v>52.5</v>
      </c>
      <c r="M159" s="2"/>
      <c r="N159" s="2">
        <v>0.39800000000000002</v>
      </c>
      <c r="O159" s="2">
        <v>70.400000000000006</v>
      </c>
      <c r="P159" s="2">
        <v>0.95599999999999996</v>
      </c>
      <c r="Q159" s="2">
        <v>-0.5</v>
      </c>
      <c r="R159" s="2">
        <v>59.1</v>
      </c>
      <c r="S159" s="2">
        <v>34.1</v>
      </c>
      <c r="T159" s="25">
        <v>0.70299999999999996</v>
      </c>
      <c r="U159" s="2">
        <v>18.399999999999999</v>
      </c>
      <c r="V159" s="2">
        <v>31.6</v>
      </c>
      <c r="W159" s="2">
        <v>40.4</v>
      </c>
      <c r="X159" s="2">
        <v>8.5999999999999993E-2</v>
      </c>
      <c r="Y159" s="2">
        <v>47.2</v>
      </c>
      <c r="Z159" s="2">
        <v>0.11</v>
      </c>
      <c r="AA159" s="2">
        <v>0.17299999999999999</v>
      </c>
      <c r="AB159" s="2">
        <v>0.17499999999999999</v>
      </c>
      <c r="AC159" s="2">
        <v>0.30399999999999999</v>
      </c>
      <c r="AD159" s="67">
        <v>0.57099999999999995</v>
      </c>
      <c r="AE159" s="2">
        <v>20</v>
      </c>
      <c r="AF159" s="2">
        <v>12</v>
      </c>
      <c r="AG159" s="2">
        <v>57</v>
      </c>
    </row>
    <row r="160" spans="1:33" x14ac:dyDescent="0.4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</row>
    <row r="161" spans="1:33" x14ac:dyDescent="0.45">
      <c r="A161" s="1" t="s">
        <v>4</v>
      </c>
      <c r="B161" s="2">
        <v>8</v>
      </c>
      <c r="C161" s="2">
        <v>1.1499999999999999</v>
      </c>
      <c r="D161" s="2">
        <v>1.0109999999999999</v>
      </c>
      <c r="E161" s="2">
        <v>0.13900000000000001</v>
      </c>
      <c r="F161" s="2">
        <v>48.6</v>
      </c>
      <c r="G161" s="2">
        <v>33.299999999999997</v>
      </c>
      <c r="H161" s="2">
        <v>18.100000000000001</v>
      </c>
      <c r="I161" s="2">
        <v>117.1</v>
      </c>
      <c r="J161" s="2">
        <v>35.4</v>
      </c>
      <c r="K161" s="2">
        <v>42.6</v>
      </c>
      <c r="L161" s="2">
        <v>55.5</v>
      </c>
      <c r="M161" s="2"/>
      <c r="N161" s="2">
        <v>0.30599999999999999</v>
      </c>
      <c r="O161" s="2">
        <v>67.3</v>
      </c>
      <c r="P161" s="2">
        <v>0.98199999999999998</v>
      </c>
      <c r="Q161" s="2">
        <v>1.8</v>
      </c>
      <c r="R161" s="2">
        <v>62.3</v>
      </c>
      <c r="S161" s="2">
        <v>34.6</v>
      </c>
      <c r="T161" s="25">
        <v>0.76200000000000001</v>
      </c>
      <c r="U161" s="2">
        <v>16.7</v>
      </c>
      <c r="V161" s="2">
        <v>35</v>
      </c>
      <c r="W161" s="2">
        <v>34.200000000000003</v>
      </c>
      <c r="X161" s="2">
        <v>0.115</v>
      </c>
      <c r="Y161" s="2">
        <v>48.3</v>
      </c>
      <c r="Z161" s="2">
        <v>8.1000000000000003E-2</v>
      </c>
      <c r="AA161" s="2">
        <v>0.14899999999999999</v>
      </c>
      <c r="AB161" s="2">
        <v>0.153</v>
      </c>
      <c r="AC161" s="2">
        <v>0.4</v>
      </c>
      <c r="AD161" s="67">
        <v>0.5</v>
      </c>
      <c r="AE161" s="2">
        <v>23</v>
      </c>
      <c r="AF161" s="2">
        <v>10</v>
      </c>
      <c r="AG161" s="2">
        <v>42</v>
      </c>
    </row>
    <row r="162" spans="1:33" x14ac:dyDescent="0.45">
      <c r="A162" s="1" t="s">
        <v>27</v>
      </c>
      <c r="B162" s="2">
        <v>9</v>
      </c>
      <c r="C162" s="2">
        <v>1.105</v>
      </c>
      <c r="D162" s="2">
        <v>1.0489999999999999</v>
      </c>
      <c r="E162" s="2">
        <v>5.6000000000000001E-2</v>
      </c>
      <c r="F162" s="2">
        <v>44.9</v>
      </c>
      <c r="G162" s="2">
        <v>32.5</v>
      </c>
      <c r="H162" s="2">
        <v>22.6</v>
      </c>
      <c r="I162" s="2">
        <v>118.1</v>
      </c>
      <c r="J162" s="2">
        <v>37</v>
      </c>
      <c r="K162" s="2">
        <v>41.9</v>
      </c>
      <c r="L162" s="2">
        <v>54.9</v>
      </c>
      <c r="M162" s="2"/>
      <c r="N162" s="2">
        <v>0.39600000000000002</v>
      </c>
      <c r="O162" s="2">
        <v>71.400000000000006</v>
      </c>
      <c r="P162" s="2">
        <v>0.93200000000000005</v>
      </c>
      <c r="Q162" s="2">
        <v>-1.7</v>
      </c>
      <c r="R162" s="2">
        <v>60.4</v>
      </c>
      <c r="S162" s="2">
        <v>25.1</v>
      </c>
      <c r="T162" s="25">
        <v>0.69699999999999995</v>
      </c>
      <c r="U162" s="2">
        <v>16.899999999999999</v>
      </c>
      <c r="V162" s="2">
        <v>30.3</v>
      </c>
      <c r="W162" s="2">
        <v>42</v>
      </c>
      <c r="X162" s="2">
        <v>3.9E-2</v>
      </c>
      <c r="Y162" s="2">
        <v>51.1</v>
      </c>
      <c r="Z162" s="2">
        <v>0.109</v>
      </c>
      <c r="AA162" s="2">
        <v>0.17199999999999999</v>
      </c>
      <c r="AB162" s="2">
        <v>0.17799999999999999</v>
      </c>
      <c r="AC162" s="2">
        <v>0.35799999999999998</v>
      </c>
      <c r="AD162" s="67">
        <v>0.5</v>
      </c>
      <c r="AE162" s="2">
        <v>20</v>
      </c>
      <c r="AF162" s="2">
        <v>13</v>
      </c>
      <c r="AG162" s="2">
        <v>48</v>
      </c>
    </row>
    <row r="163" spans="1:33" x14ac:dyDescent="0.4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</row>
    <row r="164" spans="1:33" x14ac:dyDescent="0.45">
      <c r="A164" s="2" t="s">
        <v>70</v>
      </c>
      <c r="B164" s="2">
        <v>8</v>
      </c>
      <c r="C164" s="2">
        <v>1.1060000000000001</v>
      </c>
      <c r="D164" s="2">
        <v>1.028</v>
      </c>
      <c r="E164" s="2">
        <v>7.8E-2</v>
      </c>
      <c r="F164" s="2">
        <v>50.5</v>
      </c>
      <c r="G164" s="2">
        <v>32</v>
      </c>
      <c r="H164" s="2">
        <v>17.5</v>
      </c>
      <c r="I164" s="2">
        <v>109.6</v>
      </c>
      <c r="J164" s="2">
        <v>31.4</v>
      </c>
      <c r="K164" s="2">
        <v>42.3</v>
      </c>
      <c r="L164" s="2">
        <v>51.7</v>
      </c>
      <c r="M164" s="2"/>
      <c r="N164" s="2">
        <v>0.316</v>
      </c>
      <c r="O164" s="2">
        <v>72.099999999999994</v>
      </c>
      <c r="P164" s="2">
        <v>1.008</v>
      </c>
      <c r="Q164" s="2">
        <v>4.9000000000000004</v>
      </c>
      <c r="R164" s="2">
        <v>60.8</v>
      </c>
      <c r="S164" s="2">
        <v>32.299999999999997</v>
      </c>
      <c r="T164" s="25">
        <v>0.72599999999999998</v>
      </c>
      <c r="U164" s="2">
        <v>14.7</v>
      </c>
      <c r="V164" s="2">
        <v>35.799999999999997</v>
      </c>
      <c r="W164" s="2">
        <v>44</v>
      </c>
      <c r="X164" s="2">
        <v>7.6999999999999999E-2</v>
      </c>
      <c r="Y164" s="2">
        <v>51.9</v>
      </c>
      <c r="Z164" s="2">
        <v>0.127</v>
      </c>
      <c r="AA164" s="2">
        <v>0.187</v>
      </c>
      <c r="AB164" s="2">
        <v>0.185</v>
      </c>
      <c r="AC164" s="2">
        <v>0.35399999999999998</v>
      </c>
      <c r="AD164" s="67">
        <v>0.6</v>
      </c>
      <c r="AE164" s="2">
        <v>21</v>
      </c>
      <c r="AF164" s="2">
        <v>12</v>
      </c>
      <c r="AG164" s="2">
        <v>16</v>
      </c>
    </row>
    <row r="165" spans="1:33" x14ac:dyDescent="0.45">
      <c r="A165" s="2" t="s">
        <v>40</v>
      </c>
      <c r="B165" s="2">
        <v>9</v>
      </c>
      <c r="C165" s="2">
        <v>1.107</v>
      </c>
      <c r="D165" s="2">
        <v>1.0209999999999999</v>
      </c>
      <c r="E165" s="2">
        <v>8.5999999999999993E-2</v>
      </c>
      <c r="F165" s="2">
        <v>48.8</v>
      </c>
      <c r="G165" s="2">
        <v>33</v>
      </c>
      <c r="H165" s="2">
        <v>18.2</v>
      </c>
      <c r="I165" s="2">
        <v>109.3</v>
      </c>
      <c r="J165" s="2">
        <v>34.700000000000003</v>
      </c>
      <c r="K165" s="2">
        <v>40.200000000000003</v>
      </c>
      <c r="L165" s="2">
        <v>51.5</v>
      </c>
      <c r="M165" s="2"/>
      <c r="N165" s="2">
        <v>0.31</v>
      </c>
      <c r="O165" s="2">
        <v>68.2</v>
      </c>
      <c r="P165" s="2">
        <v>1.0049999999999999</v>
      </c>
      <c r="Q165" s="2">
        <v>3.9</v>
      </c>
      <c r="R165" s="2">
        <v>57</v>
      </c>
      <c r="S165" s="2">
        <v>33.5</v>
      </c>
      <c r="T165" s="25">
        <v>0.70599999999999996</v>
      </c>
      <c r="U165" s="2">
        <v>15.8</v>
      </c>
      <c r="V165" s="2">
        <v>35.9</v>
      </c>
      <c r="W165" s="2">
        <v>41.4</v>
      </c>
      <c r="X165" s="2">
        <v>4.8000000000000001E-2</v>
      </c>
      <c r="Y165" s="2">
        <v>51.2</v>
      </c>
      <c r="Z165" s="2">
        <v>0.108</v>
      </c>
      <c r="AA165" s="2">
        <v>0.215</v>
      </c>
      <c r="AB165" s="2">
        <v>0.182</v>
      </c>
      <c r="AC165" s="2">
        <v>0.33500000000000002</v>
      </c>
      <c r="AD165" s="67">
        <v>0.36399999999999999</v>
      </c>
      <c r="AE165" s="2">
        <v>19</v>
      </c>
      <c r="AF165" s="2">
        <v>14</v>
      </c>
      <c r="AG165" s="2">
        <v>14</v>
      </c>
    </row>
    <row r="166" spans="1:33" x14ac:dyDescent="0.4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</row>
    <row r="167" spans="1:33" ht="14.65" thickBot="1" x14ac:dyDescent="0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x14ac:dyDescent="0.45">
      <c r="A168" s="70" t="s">
        <v>93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2"/>
    </row>
    <row r="169" spans="1:33" ht="14.65" thickBot="1" x14ac:dyDescent="0.5">
      <c r="A169" s="73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5"/>
    </row>
    <row r="170" spans="1:33" x14ac:dyDescent="0.45">
      <c r="A170" s="1" t="s">
        <v>14</v>
      </c>
      <c r="B170" s="2">
        <v>1</v>
      </c>
      <c r="C170" s="2">
        <v>1.1819999999999999</v>
      </c>
      <c r="D170" s="2">
        <v>0.98099999999999998</v>
      </c>
      <c r="E170" s="2">
        <v>0.20100000000000001</v>
      </c>
      <c r="F170" s="2">
        <v>48.8</v>
      </c>
      <c r="G170" s="2">
        <v>32.799999999999997</v>
      </c>
      <c r="H170" s="2">
        <v>18.3</v>
      </c>
      <c r="I170" s="2">
        <v>117.1</v>
      </c>
      <c r="J170" s="2">
        <v>36.799999999999997</v>
      </c>
      <c r="K170" s="2">
        <v>40.6</v>
      </c>
      <c r="L170" s="2">
        <v>55.7</v>
      </c>
      <c r="M170" s="2"/>
      <c r="N170" s="2">
        <v>0.33500000000000002</v>
      </c>
      <c r="O170" s="2">
        <v>70.900000000000006</v>
      </c>
      <c r="P170" s="2">
        <v>1.014</v>
      </c>
      <c r="Q170" s="2">
        <v>4.3</v>
      </c>
      <c r="R170" s="2">
        <v>60.5</v>
      </c>
      <c r="S170" s="2">
        <v>33.299999999999997</v>
      </c>
      <c r="T170" s="25">
        <v>0.73199999999999998</v>
      </c>
      <c r="U170" s="2">
        <v>13</v>
      </c>
      <c r="V170" s="2">
        <v>29.8</v>
      </c>
      <c r="W170" s="2">
        <v>35.299999999999997</v>
      </c>
      <c r="X170" s="2">
        <v>0.10199999999999999</v>
      </c>
      <c r="Y170" s="2">
        <v>46</v>
      </c>
      <c r="Z170" s="2">
        <v>9.5000000000000001E-2</v>
      </c>
      <c r="AA170" s="2">
        <v>0.13500000000000001</v>
      </c>
      <c r="AB170" s="2">
        <v>0.16800000000000001</v>
      </c>
      <c r="AC170" s="2">
        <v>0.39200000000000002</v>
      </c>
      <c r="AD170" s="67">
        <v>0.77800000000000002</v>
      </c>
      <c r="AE170" s="2">
        <v>28</v>
      </c>
      <c r="AF170" s="2">
        <v>5</v>
      </c>
      <c r="AG170" s="2">
        <v>3</v>
      </c>
    </row>
    <row r="171" spans="1:33" s="15" customFormat="1" ht="14.65" thickBot="1" x14ac:dyDescent="0.5">
      <c r="A171" s="13" t="s">
        <v>16</v>
      </c>
      <c r="B171" s="41">
        <v>9</v>
      </c>
      <c r="C171" s="41">
        <v>1.0820000000000001</v>
      </c>
      <c r="D171" s="41">
        <v>1</v>
      </c>
      <c r="E171" s="41">
        <v>8.2000000000000003E-2</v>
      </c>
      <c r="F171" s="41">
        <v>46.4</v>
      </c>
      <c r="G171" s="41">
        <v>38</v>
      </c>
      <c r="H171" s="41">
        <v>15.6</v>
      </c>
      <c r="I171" s="41">
        <v>117.2</v>
      </c>
      <c r="J171" s="41">
        <v>33.9</v>
      </c>
      <c r="K171" s="41">
        <v>49</v>
      </c>
      <c r="L171" s="41">
        <v>55.8</v>
      </c>
      <c r="M171" s="41"/>
      <c r="N171" s="41">
        <v>0.28499999999999998</v>
      </c>
      <c r="O171" s="41">
        <v>69.5</v>
      </c>
      <c r="P171" s="41">
        <v>0.92900000000000005</v>
      </c>
      <c r="Q171" s="41">
        <v>-6.2</v>
      </c>
      <c r="R171" s="41">
        <v>67.8</v>
      </c>
      <c r="S171" s="41">
        <v>25.4</v>
      </c>
      <c r="T171" s="61">
        <v>0.746</v>
      </c>
      <c r="U171" s="41">
        <v>17.7</v>
      </c>
      <c r="V171" s="41">
        <v>32.6</v>
      </c>
      <c r="W171" s="41">
        <v>35.299999999999997</v>
      </c>
      <c r="X171" s="41">
        <v>6.8000000000000005E-2</v>
      </c>
      <c r="Y171" s="41">
        <v>47</v>
      </c>
      <c r="Z171" s="41">
        <v>5.1999999999999998E-2</v>
      </c>
      <c r="AA171" s="41">
        <v>0.16700000000000001</v>
      </c>
      <c r="AB171" s="41">
        <v>0.114</v>
      </c>
      <c r="AC171" s="41">
        <v>0.16900000000000001</v>
      </c>
      <c r="AD171" s="68">
        <v>0.75</v>
      </c>
      <c r="AE171" s="41">
        <v>24</v>
      </c>
      <c r="AF171" s="41">
        <v>10</v>
      </c>
      <c r="AG171" s="41">
        <v>22</v>
      </c>
    </row>
    <row r="172" spans="1:33" x14ac:dyDescent="0.4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</row>
    <row r="173" spans="1:33" x14ac:dyDescent="0.45">
      <c r="A173" s="1" t="s">
        <v>26</v>
      </c>
      <c r="B173" s="2">
        <v>1</v>
      </c>
      <c r="C173" s="2">
        <v>1.1779999999999999</v>
      </c>
      <c r="D173" s="2">
        <v>0.95499999999999996</v>
      </c>
      <c r="E173" s="2">
        <v>0.27100000000000002</v>
      </c>
      <c r="F173" s="2">
        <v>47</v>
      </c>
      <c r="G173" s="2">
        <v>34.799999999999997</v>
      </c>
      <c r="H173" s="2">
        <v>18.100000000000001</v>
      </c>
      <c r="I173" s="2">
        <v>116</v>
      </c>
      <c r="J173" s="2">
        <v>35.5</v>
      </c>
      <c r="K173" s="2">
        <v>43.6</v>
      </c>
      <c r="L173" s="2">
        <v>55</v>
      </c>
      <c r="M173" s="2"/>
      <c r="N173" s="2">
        <v>0.32600000000000001</v>
      </c>
      <c r="O173" s="2">
        <v>72.5</v>
      </c>
      <c r="P173" s="2">
        <v>1.022</v>
      </c>
      <c r="Q173" s="2">
        <v>3.7</v>
      </c>
      <c r="R173" s="2">
        <v>61.6</v>
      </c>
      <c r="S173" s="2">
        <v>36.9</v>
      </c>
      <c r="T173" s="25">
        <v>0.73099999999999998</v>
      </c>
      <c r="U173" s="2">
        <v>14.7</v>
      </c>
      <c r="V173" s="2">
        <v>29.4</v>
      </c>
      <c r="W173" s="2">
        <v>37.200000000000003</v>
      </c>
      <c r="X173" s="2">
        <v>7.2999999999999995E-2</v>
      </c>
      <c r="Y173" s="2">
        <v>45.3</v>
      </c>
      <c r="Z173" s="2">
        <v>0.104</v>
      </c>
      <c r="AA173" s="2">
        <v>0.155</v>
      </c>
      <c r="AB173" s="2">
        <v>0.16400000000000001</v>
      </c>
      <c r="AC173" s="2">
        <v>0.33</v>
      </c>
      <c r="AD173" s="67">
        <v>0.5</v>
      </c>
      <c r="AE173" s="2">
        <v>30</v>
      </c>
      <c r="AF173" s="2">
        <v>4</v>
      </c>
      <c r="AG173" s="2">
        <v>32</v>
      </c>
    </row>
    <row r="174" spans="1:33" x14ac:dyDescent="0.45">
      <c r="A174" s="1" t="s">
        <v>4</v>
      </c>
      <c r="B174" s="2">
        <v>8</v>
      </c>
      <c r="C174" s="2">
        <v>1.1499999999999999</v>
      </c>
      <c r="D174" s="2">
        <v>1.0109999999999999</v>
      </c>
      <c r="E174" s="2">
        <v>0.13900000000000001</v>
      </c>
      <c r="F174" s="2">
        <v>48.6</v>
      </c>
      <c r="G174" s="2">
        <v>33.299999999999997</v>
      </c>
      <c r="H174" s="2">
        <v>18.100000000000001</v>
      </c>
      <c r="I174" s="2">
        <v>117.1</v>
      </c>
      <c r="J174" s="2">
        <v>35.4</v>
      </c>
      <c r="K174" s="2">
        <v>42.6</v>
      </c>
      <c r="L174" s="2">
        <v>55.5</v>
      </c>
      <c r="M174" s="2"/>
      <c r="N174" s="2">
        <v>0.30599999999999999</v>
      </c>
      <c r="O174" s="2">
        <v>67.3</v>
      </c>
      <c r="P174" s="2">
        <v>0.98199999999999998</v>
      </c>
      <c r="Q174" s="2">
        <v>1.8</v>
      </c>
      <c r="R174" s="2">
        <v>62.3</v>
      </c>
      <c r="S174" s="2">
        <v>34.6</v>
      </c>
      <c r="T174" s="25">
        <v>0.76200000000000001</v>
      </c>
      <c r="U174" s="2">
        <v>16.7</v>
      </c>
      <c r="V174" s="2">
        <v>35</v>
      </c>
      <c r="W174" s="2">
        <v>34.200000000000003</v>
      </c>
      <c r="X174" s="2">
        <v>0.115</v>
      </c>
      <c r="Y174" s="2">
        <v>48.3</v>
      </c>
      <c r="Z174" s="2">
        <v>8.1000000000000003E-2</v>
      </c>
      <c r="AA174" s="2">
        <v>0.14899999999999999</v>
      </c>
      <c r="AB174" s="2">
        <v>0.153</v>
      </c>
      <c r="AC174" s="2">
        <v>0.4</v>
      </c>
      <c r="AD174" s="67">
        <v>0.5</v>
      </c>
      <c r="AE174" s="2">
        <v>23</v>
      </c>
      <c r="AF174" s="2">
        <v>10</v>
      </c>
      <c r="AG174" s="2">
        <v>42</v>
      </c>
    </row>
    <row r="175" spans="1:33" x14ac:dyDescent="0.4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</row>
    <row r="176" spans="1:33" s="15" customFormat="1" ht="14.65" thickBot="1" x14ac:dyDescent="0.5">
      <c r="A176" s="1" t="s">
        <v>39</v>
      </c>
      <c r="B176" s="1">
        <v>1</v>
      </c>
      <c r="C176" s="1">
        <v>1.2110000000000001</v>
      </c>
      <c r="D176" s="1">
        <v>0.90700000000000003</v>
      </c>
      <c r="E176" s="1">
        <v>0.30399999999999999</v>
      </c>
      <c r="F176" s="1">
        <v>45.1</v>
      </c>
      <c r="G176" s="1">
        <v>36.9</v>
      </c>
      <c r="H176" s="1">
        <v>18</v>
      </c>
      <c r="I176" s="1">
        <v>123</v>
      </c>
      <c r="J176" s="1">
        <v>37.700000000000003</v>
      </c>
      <c r="K176" s="1">
        <v>45.4</v>
      </c>
      <c r="L176" s="1">
        <v>57.4</v>
      </c>
      <c r="M176" s="1"/>
      <c r="N176" s="1">
        <v>0.32100000000000001</v>
      </c>
      <c r="O176" s="1">
        <v>68.3</v>
      </c>
      <c r="P176" s="1">
        <v>1.004</v>
      </c>
      <c r="Q176" s="1">
        <v>3.8</v>
      </c>
      <c r="R176" s="1">
        <v>64.400000000000006</v>
      </c>
      <c r="S176" s="1">
        <v>34.1</v>
      </c>
      <c r="T176" s="28">
        <v>0.76300000000000001</v>
      </c>
      <c r="U176" s="1">
        <v>14</v>
      </c>
      <c r="V176" s="1">
        <v>31.1</v>
      </c>
      <c r="W176" s="1">
        <v>38.299999999999997</v>
      </c>
      <c r="X176" s="1">
        <v>6.7000000000000004E-2</v>
      </c>
      <c r="Y176" s="1">
        <v>44.5</v>
      </c>
      <c r="Z176" s="1">
        <v>9.9000000000000005E-2</v>
      </c>
      <c r="AA176" s="1">
        <v>0.16600000000000001</v>
      </c>
      <c r="AB176" s="1">
        <v>0.16700000000000001</v>
      </c>
      <c r="AC176" s="1">
        <v>0.254</v>
      </c>
      <c r="AD176" s="69">
        <v>0.33300000000000002</v>
      </c>
      <c r="AE176" s="1">
        <v>31</v>
      </c>
      <c r="AF176" s="1">
        <v>3</v>
      </c>
      <c r="AG176" s="1">
        <v>37</v>
      </c>
    </row>
    <row r="177" spans="1:33" x14ac:dyDescent="0.45">
      <c r="A177" s="2" t="s">
        <v>40</v>
      </c>
      <c r="B177" s="2">
        <v>9</v>
      </c>
      <c r="C177" s="2">
        <v>1.107</v>
      </c>
      <c r="D177" s="2">
        <v>1.0209999999999999</v>
      </c>
      <c r="E177" s="2">
        <v>8.5999999999999993E-2</v>
      </c>
      <c r="F177" s="2">
        <v>48.8</v>
      </c>
      <c r="G177" s="2">
        <v>33</v>
      </c>
      <c r="H177" s="2">
        <v>18.2</v>
      </c>
      <c r="I177" s="2">
        <v>109.3</v>
      </c>
      <c r="J177" s="2">
        <v>34.700000000000003</v>
      </c>
      <c r="K177" s="2">
        <v>40.200000000000003</v>
      </c>
      <c r="L177" s="2">
        <v>51.5</v>
      </c>
      <c r="M177" s="2"/>
      <c r="N177" s="2">
        <v>0.31</v>
      </c>
      <c r="O177" s="2">
        <v>68.2</v>
      </c>
      <c r="P177" s="2">
        <v>1.0049999999999999</v>
      </c>
      <c r="Q177" s="2">
        <v>3.9</v>
      </c>
      <c r="R177" s="2">
        <v>57</v>
      </c>
      <c r="S177" s="2">
        <v>33.5</v>
      </c>
      <c r="T177" s="25">
        <v>0.70599999999999996</v>
      </c>
      <c r="U177" s="2">
        <v>15.8</v>
      </c>
      <c r="V177" s="2">
        <v>35.9</v>
      </c>
      <c r="W177" s="2">
        <v>41.4</v>
      </c>
      <c r="X177" s="2">
        <v>4.8000000000000001E-2</v>
      </c>
      <c r="Y177" s="2">
        <v>51.2</v>
      </c>
      <c r="Z177" s="2">
        <v>0.108</v>
      </c>
      <c r="AA177" s="2">
        <v>0.215</v>
      </c>
      <c r="AB177" s="2">
        <v>0.182</v>
      </c>
      <c r="AC177" s="2">
        <v>0.33500000000000002</v>
      </c>
      <c r="AD177" s="67">
        <v>0.36399999999999999</v>
      </c>
      <c r="AE177" s="2">
        <v>19</v>
      </c>
      <c r="AF177" s="2">
        <v>14</v>
      </c>
      <c r="AG177" s="2">
        <v>14</v>
      </c>
    </row>
    <row r="178" spans="1:33" x14ac:dyDescent="0.4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</row>
    <row r="179" spans="1:33" x14ac:dyDescent="0.45">
      <c r="A179" s="1" t="s">
        <v>51</v>
      </c>
      <c r="B179" s="2">
        <v>1</v>
      </c>
      <c r="C179" s="2">
        <v>1.131</v>
      </c>
      <c r="D179" s="2">
        <v>0.89100000000000001</v>
      </c>
      <c r="E179" s="2">
        <v>0.24</v>
      </c>
      <c r="F179" s="2">
        <v>50.7</v>
      </c>
      <c r="G179" s="2">
        <v>32.700000000000003</v>
      </c>
      <c r="H179" s="2">
        <v>16.600000000000001</v>
      </c>
      <c r="I179" s="2">
        <v>111.2</v>
      </c>
      <c r="J179" s="2">
        <v>39.799999999999997</v>
      </c>
      <c r="K179" s="2">
        <v>34.5</v>
      </c>
      <c r="L179" s="2">
        <v>52.7</v>
      </c>
      <c r="M179" s="2"/>
      <c r="N179" s="2">
        <v>0.28199999999999997</v>
      </c>
      <c r="O179" s="2">
        <v>65.599999999999994</v>
      </c>
      <c r="P179" s="2">
        <v>1.026</v>
      </c>
      <c r="Q179" s="2">
        <v>8.1999999999999993</v>
      </c>
      <c r="R179" s="2">
        <v>52.3</v>
      </c>
      <c r="S179" s="2">
        <v>35.700000000000003</v>
      </c>
      <c r="T179" s="25">
        <v>0.753</v>
      </c>
      <c r="U179" s="2">
        <v>14.2</v>
      </c>
      <c r="V179" s="2">
        <v>30.2</v>
      </c>
      <c r="W179" s="2">
        <v>43.4</v>
      </c>
      <c r="X179" s="2">
        <v>0.09</v>
      </c>
      <c r="Y179" s="2">
        <v>44.9</v>
      </c>
      <c r="Z179" s="2">
        <v>0.122</v>
      </c>
      <c r="AA179" s="2">
        <v>0.16800000000000001</v>
      </c>
      <c r="AB179" s="2">
        <v>0.20899999999999999</v>
      </c>
      <c r="AC179" s="2">
        <v>0.34100000000000003</v>
      </c>
      <c r="AD179" s="67">
        <v>0.42899999999999999</v>
      </c>
      <c r="AE179" s="2">
        <v>30</v>
      </c>
      <c r="AF179" s="2">
        <v>4</v>
      </c>
      <c r="AG179" s="2">
        <v>9</v>
      </c>
    </row>
    <row r="180" spans="1:33" s="15" customFormat="1" ht="14.65" thickBot="1" x14ac:dyDescent="0.5">
      <c r="A180" s="13" t="s">
        <v>52</v>
      </c>
      <c r="B180" s="41">
        <v>8</v>
      </c>
      <c r="C180" s="41">
        <v>1.181</v>
      </c>
      <c r="D180" s="41">
        <v>0.95</v>
      </c>
      <c r="E180" s="41">
        <v>0.23100000000000001</v>
      </c>
      <c r="F180" s="41">
        <v>55.9</v>
      </c>
      <c r="G180" s="41">
        <v>26.1</v>
      </c>
      <c r="H180" s="41">
        <v>18</v>
      </c>
      <c r="I180" s="41">
        <v>119.3</v>
      </c>
      <c r="J180" s="41">
        <v>34.4</v>
      </c>
      <c r="K180" s="41">
        <v>33.5</v>
      </c>
      <c r="L180" s="41">
        <v>55.7</v>
      </c>
      <c r="M180" s="41"/>
      <c r="N180" s="41">
        <v>0.309</v>
      </c>
      <c r="O180" s="41">
        <v>73.3</v>
      </c>
      <c r="P180" s="41">
        <v>0.995</v>
      </c>
      <c r="Q180" s="41">
        <v>4.5999999999999996</v>
      </c>
      <c r="R180" s="41">
        <v>62.7</v>
      </c>
      <c r="S180" s="41">
        <v>30.4</v>
      </c>
      <c r="T180" s="61">
        <v>0.76400000000000001</v>
      </c>
      <c r="U180" s="41">
        <v>12.9</v>
      </c>
      <c r="V180" s="41">
        <v>30.3</v>
      </c>
      <c r="W180" s="41">
        <v>40.200000000000003</v>
      </c>
      <c r="X180" s="41">
        <v>4.9000000000000002E-2</v>
      </c>
      <c r="Y180" s="41">
        <v>47.6</v>
      </c>
      <c r="Z180" s="41">
        <v>0.10199999999999999</v>
      </c>
      <c r="AA180" s="41">
        <v>0.16800000000000001</v>
      </c>
      <c r="AB180" s="41">
        <v>0.17499999999999999</v>
      </c>
      <c r="AC180" s="41">
        <v>0.28599999999999998</v>
      </c>
      <c r="AD180" s="68">
        <v>0</v>
      </c>
      <c r="AE180" s="41">
        <v>25</v>
      </c>
      <c r="AF180" s="41">
        <v>8</v>
      </c>
      <c r="AG180" s="41">
        <v>82</v>
      </c>
    </row>
    <row r="181" spans="1:33" x14ac:dyDescent="0.4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</row>
    <row r="182" spans="1:33" x14ac:dyDescent="0.45">
      <c r="A182" s="1" t="s">
        <v>24</v>
      </c>
      <c r="B182" s="2">
        <v>2</v>
      </c>
      <c r="C182" s="2">
        <v>1.1020000000000001</v>
      </c>
      <c r="D182" s="2">
        <v>0.94799999999999995</v>
      </c>
      <c r="E182" s="2">
        <v>0.154</v>
      </c>
      <c r="F182" s="2">
        <v>54.5</v>
      </c>
      <c r="G182" s="2">
        <v>23.1</v>
      </c>
      <c r="H182" s="2">
        <v>22.4</v>
      </c>
      <c r="I182" s="2">
        <v>111.5</v>
      </c>
      <c r="J182" s="2">
        <v>30.8</v>
      </c>
      <c r="K182" s="2">
        <v>32.700000000000003</v>
      </c>
      <c r="L182" s="2">
        <v>51.2</v>
      </c>
      <c r="M182" s="2"/>
      <c r="N182" s="2">
        <v>0.378</v>
      </c>
      <c r="O182" s="2">
        <v>70.900000000000006</v>
      </c>
      <c r="P182" s="2">
        <v>0.98699999999999999</v>
      </c>
      <c r="Q182" s="2">
        <v>2.7</v>
      </c>
      <c r="R182" s="2">
        <v>57.8</v>
      </c>
      <c r="S182" s="2">
        <v>33.700000000000003</v>
      </c>
      <c r="T182" s="25">
        <v>0.77100000000000002</v>
      </c>
      <c r="U182" s="2">
        <v>16.3</v>
      </c>
      <c r="V182" s="2">
        <v>28</v>
      </c>
      <c r="W182" s="2">
        <v>40.700000000000003</v>
      </c>
      <c r="X182" s="2">
        <v>7.8E-2</v>
      </c>
      <c r="Y182" s="2">
        <v>46.1</v>
      </c>
      <c r="Z182" s="2">
        <v>7.6999999999999999E-2</v>
      </c>
      <c r="AA182" s="2">
        <v>0.17399999999999999</v>
      </c>
      <c r="AB182" s="2">
        <v>0.159</v>
      </c>
      <c r="AC182" s="2">
        <v>0.33100000000000002</v>
      </c>
      <c r="AD182" s="67">
        <v>0.57099999999999995</v>
      </c>
      <c r="AE182" s="2">
        <v>27</v>
      </c>
      <c r="AF182" s="2">
        <v>6</v>
      </c>
      <c r="AG182" s="2">
        <v>19</v>
      </c>
    </row>
    <row r="183" spans="1:33" x14ac:dyDescent="0.45">
      <c r="A183" s="1" t="s">
        <v>23</v>
      </c>
      <c r="B183" s="2">
        <v>10</v>
      </c>
      <c r="C183" s="2">
        <v>1.0589999999999999</v>
      </c>
      <c r="D183" s="2">
        <v>0.93700000000000006</v>
      </c>
      <c r="E183" s="2">
        <v>0.122</v>
      </c>
      <c r="F183" s="2">
        <v>54.4</v>
      </c>
      <c r="G183" s="2">
        <v>25.5</v>
      </c>
      <c r="H183" s="2">
        <v>20.100000000000001</v>
      </c>
      <c r="I183" s="2">
        <v>108.1</v>
      </c>
      <c r="J183" s="2">
        <v>34.1</v>
      </c>
      <c r="K183" s="2">
        <v>32.200000000000003</v>
      </c>
      <c r="L183" s="2">
        <v>50.8</v>
      </c>
      <c r="M183" s="2"/>
      <c r="N183" s="2">
        <v>0.378</v>
      </c>
      <c r="O183" s="2">
        <v>75.5</v>
      </c>
      <c r="P183" s="2">
        <v>0.97799999999999998</v>
      </c>
      <c r="Q183" s="2">
        <v>5.7</v>
      </c>
      <c r="R183" s="2">
        <v>56.1</v>
      </c>
      <c r="S183" s="2">
        <v>28.9</v>
      </c>
      <c r="T183" s="25">
        <v>0.77200000000000002</v>
      </c>
      <c r="U183" s="2">
        <v>15.1</v>
      </c>
      <c r="V183" s="2">
        <v>33.799999999999997</v>
      </c>
      <c r="W183" s="2">
        <v>38.299999999999997</v>
      </c>
      <c r="X183" s="2">
        <v>8.5999999999999993E-2</v>
      </c>
      <c r="Y183" s="2">
        <v>49.2</v>
      </c>
      <c r="Z183" s="2">
        <v>0.113</v>
      </c>
      <c r="AA183" s="2">
        <v>0.19600000000000001</v>
      </c>
      <c r="AB183" s="2">
        <v>0.19700000000000001</v>
      </c>
      <c r="AC183" s="2">
        <v>0.35</v>
      </c>
      <c r="AD183" s="67">
        <v>0.625</v>
      </c>
      <c r="AE183" s="2">
        <v>26</v>
      </c>
      <c r="AF183" s="2">
        <v>7</v>
      </c>
      <c r="AG183" s="2">
        <v>87</v>
      </c>
    </row>
    <row r="184" spans="1:33" x14ac:dyDescent="0.4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</row>
    <row r="185" spans="1:33" x14ac:dyDescent="0.45">
      <c r="A185" s="2" t="s">
        <v>49</v>
      </c>
      <c r="B185" s="2">
        <v>2</v>
      </c>
      <c r="C185" s="2">
        <v>1.1559999999999999</v>
      </c>
      <c r="D185" s="2">
        <v>1.0329999999999999</v>
      </c>
      <c r="E185" s="2">
        <v>0.123</v>
      </c>
      <c r="F185" s="2">
        <v>45.1</v>
      </c>
      <c r="G185" s="2">
        <v>34.799999999999997</v>
      </c>
      <c r="H185" s="2">
        <v>20.100000000000001</v>
      </c>
      <c r="I185" s="2">
        <v>120</v>
      </c>
      <c r="J185" s="2">
        <v>35</v>
      </c>
      <c r="K185" s="2">
        <v>46.2</v>
      </c>
      <c r="L185" s="2">
        <v>56.4</v>
      </c>
      <c r="M185" s="2"/>
      <c r="N185" s="2">
        <v>0.40100000000000002</v>
      </c>
      <c r="O185" s="2">
        <v>78.8</v>
      </c>
      <c r="P185" s="2">
        <v>0.97399999999999998</v>
      </c>
      <c r="Q185" s="2">
        <v>-2.4</v>
      </c>
      <c r="R185" s="2">
        <v>68.5</v>
      </c>
      <c r="S185" s="2">
        <v>32.700000000000003</v>
      </c>
      <c r="T185" s="25">
        <v>0.73099999999999998</v>
      </c>
      <c r="U185" s="2">
        <v>16.2</v>
      </c>
      <c r="V185" s="2">
        <v>30.4</v>
      </c>
      <c r="W185" s="2">
        <v>34.6</v>
      </c>
      <c r="X185" s="2">
        <v>6.6000000000000003E-2</v>
      </c>
      <c r="Y185" s="2">
        <v>47.9</v>
      </c>
      <c r="Z185" s="2">
        <v>7.6999999999999999E-2</v>
      </c>
      <c r="AA185" s="2">
        <v>0.16300000000000001</v>
      </c>
      <c r="AB185" s="2">
        <v>0.13</v>
      </c>
      <c r="AC185" s="2">
        <v>0.33900000000000002</v>
      </c>
      <c r="AD185" s="67">
        <v>0.66700000000000004</v>
      </c>
      <c r="AE185" s="2">
        <v>25</v>
      </c>
      <c r="AF185" s="2">
        <v>8</v>
      </c>
      <c r="AG185" s="2">
        <v>1</v>
      </c>
    </row>
    <row r="186" spans="1:33" x14ac:dyDescent="0.45">
      <c r="A186" s="1" t="s">
        <v>47</v>
      </c>
      <c r="B186" s="2">
        <v>7</v>
      </c>
      <c r="C186" s="2">
        <v>1.1180000000000001</v>
      </c>
      <c r="D186" s="2">
        <v>0.93500000000000005</v>
      </c>
      <c r="E186" s="2">
        <v>0.183</v>
      </c>
      <c r="F186" s="2">
        <v>56</v>
      </c>
      <c r="G186" s="2">
        <v>26.3</v>
      </c>
      <c r="H186" s="2">
        <v>17.7</v>
      </c>
      <c r="I186" s="2">
        <v>106.4</v>
      </c>
      <c r="J186" s="2">
        <v>32.700000000000003</v>
      </c>
      <c r="K186" s="2">
        <v>33.299999999999997</v>
      </c>
      <c r="L186" s="2">
        <v>50.9</v>
      </c>
      <c r="M186" s="2"/>
      <c r="N186" s="2">
        <v>0.314</v>
      </c>
      <c r="O186" s="2">
        <v>65.599999999999994</v>
      </c>
      <c r="P186" s="2">
        <v>1.038</v>
      </c>
      <c r="Q186" s="2">
        <v>6.2</v>
      </c>
      <c r="R186" s="2">
        <v>55.3</v>
      </c>
      <c r="S186" s="2">
        <v>39.200000000000003</v>
      </c>
      <c r="T186" s="25">
        <v>0.77900000000000003</v>
      </c>
      <c r="U186" s="2">
        <v>14.8</v>
      </c>
      <c r="V186" s="2">
        <v>31.4</v>
      </c>
      <c r="W186" s="2">
        <v>31.8</v>
      </c>
      <c r="X186" s="2">
        <v>7.1999999999999995E-2</v>
      </c>
      <c r="Y186" s="2">
        <v>46.2</v>
      </c>
      <c r="Z186" s="2">
        <v>9.2999999999999999E-2</v>
      </c>
      <c r="AA186" s="2">
        <v>0.189</v>
      </c>
      <c r="AB186" s="2">
        <v>0.159</v>
      </c>
      <c r="AC186" s="2">
        <v>0.25</v>
      </c>
      <c r="AD186" s="67">
        <v>0.625</v>
      </c>
      <c r="AE186" s="2">
        <v>28</v>
      </c>
      <c r="AF186" s="2">
        <v>5</v>
      </c>
      <c r="AG186" s="2">
        <v>92</v>
      </c>
    </row>
    <row r="187" spans="1:33" x14ac:dyDescent="0.4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</row>
    <row r="188" spans="1:33" s="15" customFormat="1" ht="14.65" thickBot="1" x14ac:dyDescent="0.5">
      <c r="A188" s="13" t="s">
        <v>61</v>
      </c>
      <c r="B188" s="41">
        <v>2</v>
      </c>
      <c r="C188" s="41">
        <v>1.1060000000000001</v>
      </c>
      <c r="D188" s="41">
        <v>0.93200000000000005</v>
      </c>
      <c r="E188" s="41">
        <v>0.17399999999999999</v>
      </c>
      <c r="F188" s="41">
        <v>46.2</v>
      </c>
      <c r="G188" s="41">
        <v>33.9</v>
      </c>
      <c r="H188" s="41">
        <v>20</v>
      </c>
      <c r="I188" s="41">
        <v>113.2</v>
      </c>
      <c r="J188" s="41">
        <v>34</v>
      </c>
      <c r="K188" s="41">
        <v>43</v>
      </c>
      <c r="L188" s="41">
        <v>52.8</v>
      </c>
      <c r="M188" s="41"/>
      <c r="N188" s="41">
        <v>0.35399999999999998</v>
      </c>
      <c r="O188" s="41">
        <v>67.599999999999994</v>
      </c>
      <c r="P188" s="41">
        <v>0.98699999999999999</v>
      </c>
      <c r="Q188" s="41">
        <v>2.4</v>
      </c>
      <c r="R188" s="41">
        <v>59.3</v>
      </c>
      <c r="S188" s="41">
        <v>33.6</v>
      </c>
      <c r="T188" s="61">
        <v>0.73699999999999999</v>
      </c>
      <c r="U188" s="41">
        <v>15.5</v>
      </c>
      <c r="V188" s="41">
        <v>28.7</v>
      </c>
      <c r="W188" s="41">
        <v>44.6</v>
      </c>
      <c r="X188" s="41">
        <v>8.4000000000000005E-2</v>
      </c>
      <c r="Y188" s="41">
        <v>44.4</v>
      </c>
      <c r="Z188" s="41">
        <v>0.104</v>
      </c>
      <c r="AA188" s="41">
        <v>0.151</v>
      </c>
      <c r="AB188" s="41">
        <v>0.17299999999999999</v>
      </c>
      <c r="AC188" s="41">
        <v>0.29399999999999998</v>
      </c>
      <c r="AD188" s="68">
        <v>0.6</v>
      </c>
      <c r="AE188" s="41">
        <v>27</v>
      </c>
      <c r="AF188" s="41">
        <v>7</v>
      </c>
      <c r="AG188" s="41">
        <v>17</v>
      </c>
    </row>
    <row r="189" spans="1:33" x14ac:dyDescent="0.45">
      <c r="A189" s="2" t="s">
        <v>3</v>
      </c>
      <c r="B189" s="2">
        <v>7</v>
      </c>
      <c r="C189" s="2">
        <v>1.103</v>
      </c>
      <c r="D189" s="2">
        <v>0.97</v>
      </c>
      <c r="E189" s="2">
        <v>0.13300000000000001</v>
      </c>
      <c r="F189" s="2">
        <v>52.1</v>
      </c>
      <c r="G189" s="2">
        <v>30</v>
      </c>
      <c r="H189" s="2">
        <v>17.8</v>
      </c>
      <c r="I189" s="2">
        <v>111.5</v>
      </c>
      <c r="J189" s="2">
        <v>35.200000000000003</v>
      </c>
      <c r="K189" s="2">
        <v>36</v>
      </c>
      <c r="L189" s="2">
        <v>53</v>
      </c>
      <c r="M189" s="2"/>
      <c r="N189" s="2">
        <v>0.32900000000000001</v>
      </c>
      <c r="O189" s="2">
        <v>67.7</v>
      </c>
      <c r="P189" s="2">
        <v>0.98499999999999999</v>
      </c>
      <c r="Q189" s="2">
        <v>6.1</v>
      </c>
      <c r="R189" s="2">
        <v>56.7</v>
      </c>
      <c r="S189" s="2">
        <v>32.1</v>
      </c>
      <c r="T189" s="25">
        <v>0.71799999999999997</v>
      </c>
      <c r="U189" s="2">
        <v>15.6</v>
      </c>
      <c r="V189" s="2">
        <v>32.799999999999997</v>
      </c>
      <c r="W189" s="2">
        <v>45</v>
      </c>
      <c r="X189" s="2">
        <v>6.0999999999999999E-2</v>
      </c>
      <c r="Y189" s="2">
        <v>50.5</v>
      </c>
      <c r="Z189" s="2">
        <v>0.12</v>
      </c>
      <c r="AA189" s="2">
        <v>0.191</v>
      </c>
      <c r="AB189" s="2">
        <v>0.224</v>
      </c>
      <c r="AC189" s="2">
        <v>0.34599999999999997</v>
      </c>
      <c r="AD189" s="67">
        <v>0.72699999999999998</v>
      </c>
      <c r="AE189" s="2">
        <v>22</v>
      </c>
      <c r="AF189" s="2">
        <v>10</v>
      </c>
      <c r="AG189" s="2">
        <v>50</v>
      </c>
    </row>
    <row r="190" spans="1:33" x14ac:dyDescent="0.4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</row>
    <row r="191" spans="1:33" x14ac:dyDescent="0.45">
      <c r="A191" s="1" t="s">
        <v>37</v>
      </c>
      <c r="B191" s="2">
        <v>2</v>
      </c>
      <c r="C191" s="2">
        <v>1.069</v>
      </c>
      <c r="D191" s="2">
        <v>0.89500000000000002</v>
      </c>
      <c r="E191" s="2">
        <v>0.17399999999999999</v>
      </c>
      <c r="F191" s="2">
        <v>59</v>
      </c>
      <c r="G191" s="2">
        <v>23.5</v>
      </c>
      <c r="H191" s="2">
        <v>17.600000000000001</v>
      </c>
      <c r="I191" s="2">
        <v>104.4</v>
      </c>
      <c r="J191" s="2">
        <v>30.4</v>
      </c>
      <c r="K191" s="2">
        <v>30.3</v>
      </c>
      <c r="L191" s="2">
        <v>49.7</v>
      </c>
      <c r="M191" s="2"/>
      <c r="N191" s="2">
        <v>0.30199999999999999</v>
      </c>
      <c r="O191" s="2">
        <v>73.599999999999994</v>
      </c>
      <c r="P191" s="2">
        <v>1.0229999999999999</v>
      </c>
      <c r="Q191" s="2">
        <v>7.8</v>
      </c>
      <c r="R191" s="2">
        <v>55.7</v>
      </c>
      <c r="S191" s="2">
        <v>35.5</v>
      </c>
      <c r="T191" s="25">
        <v>0.72799999999999998</v>
      </c>
      <c r="U191" s="2">
        <v>15.1</v>
      </c>
      <c r="V191" s="2">
        <v>30.6</v>
      </c>
      <c r="W191" s="2">
        <v>40.799999999999997</v>
      </c>
      <c r="X191" s="2">
        <v>8.7999999999999995E-2</v>
      </c>
      <c r="Y191" s="2">
        <v>46.6</v>
      </c>
      <c r="Z191" s="2">
        <v>0.121</v>
      </c>
      <c r="AA191" s="2">
        <v>0.17499999999999999</v>
      </c>
      <c r="AB191" s="2">
        <v>0.20899999999999999</v>
      </c>
      <c r="AC191" s="2">
        <v>0.30399999999999999</v>
      </c>
      <c r="AD191" s="67">
        <v>0.5</v>
      </c>
      <c r="AE191" s="2">
        <v>30</v>
      </c>
      <c r="AF191" s="2">
        <v>4</v>
      </c>
      <c r="AG191" s="2">
        <v>40</v>
      </c>
    </row>
    <row r="192" spans="1:33" s="15" customFormat="1" ht="14.65" thickBot="1" x14ac:dyDescent="0.5">
      <c r="A192" s="13" t="s">
        <v>36</v>
      </c>
      <c r="B192" s="41">
        <v>10</v>
      </c>
      <c r="C192" s="41">
        <v>1.06</v>
      </c>
      <c r="D192" s="41">
        <v>0.98399999999999999</v>
      </c>
      <c r="E192" s="41">
        <v>7.5999999999999998E-2</v>
      </c>
      <c r="F192" s="41">
        <v>52.4</v>
      </c>
      <c r="G192" s="41">
        <v>27.5</v>
      </c>
      <c r="H192" s="41">
        <v>20.100000000000001</v>
      </c>
      <c r="I192" s="41">
        <v>111.8</v>
      </c>
      <c r="J192" s="41">
        <v>33.299999999999997</v>
      </c>
      <c r="K192" s="41">
        <v>36.700000000000003</v>
      </c>
      <c r="L192" s="41">
        <v>52.7</v>
      </c>
      <c r="M192" s="41"/>
      <c r="N192" s="41">
        <v>0.35499999999999998</v>
      </c>
      <c r="O192" s="41">
        <v>72.3</v>
      </c>
      <c r="P192" s="41">
        <v>0.95</v>
      </c>
      <c r="Q192" s="41">
        <v>-1</v>
      </c>
      <c r="R192" s="41">
        <v>58.3</v>
      </c>
      <c r="S192" s="41">
        <v>25</v>
      </c>
      <c r="T192" s="61">
        <v>0.72</v>
      </c>
      <c r="U192" s="41">
        <v>16.100000000000001</v>
      </c>
      <c r="V192" s="41">
        <v>31.4</v>
      </c>
      <c r="W192" s="41">
        <v>38.9</v>
      </c>
      <c r="X192" s="41">
        <v>9.0999999999999998E-2</v>
      </c>
      <c r="Y192" s="41">
        <v>48.3</v>
      </c>
      <c r="Z192" s="41">
        <v>0.104</v>
      </c>
      <c r="AA192" s="41">
        <v>0.16900000000000001</v>
      </c>
      <c r="AB192" s="41">
        <v>0.16800000000000001</v>
      </c>
      <c r="AC192" s="41">
        <v>0.29399999999999998</v>
      </c>
      <c r="AD192" s="68">
        <v>0.54600000000000004</v>
      </c>
      <c r="AE192" s="41">
        <v>20</v>
      </c>
      <c r="AF192" s="41">
        <v>13</v>
      </c>
      <c r="AG192" s="41">
        <v>43</v>
      </c>
    </row>
    <row r="193" spans="1:33" x14ac:dyDescent="0.4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</row>
    <row r="194" spans="1:33" x14ac:dyDescent="0.45">
      <c r="A194" s="2" t="s">
        <v>58</v>
      </c>
      <c r="B194" s="2">
        <v>3</v>
      </c>
      <c r="C194" s="2">
        <v>1.1459999999999999</v>
      </c>
      <c r="D194" s="2">
        <v>1.046</v>
      </c>
      <c r="E194" s="2">
        <v>0.1</v>
      </c>
      <c r="F194" s="2">
        <v>47.4</v>
      </c>
      <c r="G194" s="2">
        <v>33.799999999999997</v>
      </c>
      <c r="H194" s="2">
        <v>18.8</v>
      </c>
      <c r="I194" s="2">
        <v>117.9</v>
      </c>
      <c r="J194" s="2">
        <v>37.4</v>
      </c>
      <c r="K194" s="2">
        <v>41.7</v>
      </c>
      <c r="L194" s="2">
        <v>56</v>
      </c>
      <c r="M194" s="2"/>
      <c r="N194" s="2">
        <v>0.35899999999999999</v>
      </c>
      <c r="O194" s="2">
        <v>74.400000000000006</v>
      </c>
      <c r="P194" s="2">
        <v>0.96799999999999997</v>
      </c>
      <c r="Q194" s="2">
        <v>-0.6</v>
      </c>
      <c r="R194" s="2">
        <v>60.6</v>
      </c>
      <c r="S194" s="2">
        <v>27</v>
      </c>
      <c r="T194" s="25">
        <v>0.748</v>
      </c>
      <c r="U194" s="2">
        <v>14.9</v>
      </c>
      <c r="V194" s="2">
        <v>30.5</v>
      </c>
      <c r="W194" s="2">
        <v>43.7</v>
      </c>
      <c r="X194" s="2">
        <v>6.4000000000000001E-2</v>
      </c>
      <c r="Y194" s="2">
        <v>50.4</v>
      </c>
      <c r="Z194" s="2">
        <v>9.2999999999999999E-2</v>
      </c>
      <c r="AA194" s="2">
        <v>0.17199999999999999</v>
      </c>
      <c r="AB194" s="2">
        <v>0.13900000000000001</v>
      </c>
      <c r="AC194" s="2">
        <v>0.31</v>
      </c>
      <c r="AD194" s="67">
        <v>0.6</v>
      </c>
      <c r="AE194" s="2">
        <v>22</v>
      </c>
      <c r="AF194" s="2">
        <v>11</v>
      </c>
      <c r="AG194" s="2">
        <v>10</v>
      </c>
    </row>
    <row r="195" spans="1:33" s="15" customFormat="1" ht="14.65" thickBot="1" x14ac:dyDescent="0.5">
      <c r="A195" s="13" t="s">
        <v>57</v>
      </c>
      <c r="B195" s="41">
        <v>6</v>
      </c>
      <c r="C195" s="41">
        <v>1.125</v>
      </c>
      <c r="D195" s="41">
        <v>1.0009999999999999</v>
      </c>
      <c r="E195" s="41">
        <v>0.124</v>
      </c>
      <c r="F195" s="41">
        <v>46.2</v>
      </c>
      <c r="G195" s="41">
        <v>33.799999999999997</v>
      </c>
      <c r="H195" s="41">
        <v>20</v>
      </c>
      <c r="I195" s="41">
        <v>112.7</v>
      </c>
      <c r="J195" s="41">
        <v>31.1</v>
      </c>
      <c r="K195" s="41">
        <v>46.9</v>
      </c>
      <c r="L195" s="41">
        <v>52.3</v>
      </c>
      <c r="M195" s="41"/>
      <c r="N195" s="41">
        <v>0.34599999999999997</v>
      </c>
      <c r="O195" s="41">
        <v>74.5</v>
      </c>
      <c r="P195" s="41">
        <v>1</v>
      </c>
      <c r="Q195" s="41">
        <v>0.5</v>
      </c>
      <c r="R195" s="41">
        <v>62.8</v>
      </c>
      <c r="S195" s="41">
        <v>35.299999999999997</v>
      </c>
      <c r="T195" s="61">
        <v>0.76900000000000002</v>
      </c>
      <c r="U195" s="41">
        <v>15.5</v>
      </c>
      <c r="V195" s="41">
        <v>33.6</v>
      </c>
      <c r="W195" s="41">
        <v>30.5</v>
      </c>
      <c r="X195" s="41">
        <v>6.4000000000000001E-2</v>
      </c>
      <c r="Y195" s="41">
        <v>47.3</v>
      </c>
      <c r="Z195" s="41">
        <v>5.8000000000000003E-2</v>
      </c>
      <c r="AA195" s="41">
        <v>0.17100000000000001</v>
      </c>
      <c r="AB195" s="41">
        <v>0.121</v>
      </c>
      <c r="AC195" s="41">
        <v>0.26800000000000002</v>
      </c>
      <c r="AD195" s="68">
        <v>0.5</v>
      </c>
      <c r="AE195" s="41">
        <v>21</v>
      </c>
      <c r="AF195" s="41">
        <v>12</v>
      </c>
      <c r="AG195" s="41">
        <v>11</v>
      </c>
    </row>
    <row r="196" spans="1:33" x14ac:dyDescent="0.4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</row>
    <row r="197" spans="1:33" x14ac:dyDescent="0.45">
      <c r="A197" s="1" t="s">
        <v>20</v>
      </c>
      <c r="B197" s="2">
        <v>3</v>
      </c>
      <c r="C197" s="2">
        <v>1.115</v>
      </c>
      <c r="D197" s="2">
        <v>0.94499999999999995</v>
      </c>
      <c r="E197" s="2">
        <v>0.17</v>
      </c>
      <c r="F197" s="2">
        <v>50.8</v>
      </c>
      <c r="G197" s="2">
        <v>28.6</v>
      </c>
      <c r="H197" s="2">
        <v>20.6</v>
      </c>
      <c r="I197" s="2">
        <v>117.2</v>
      </c>
      <c r="J197" s="2">
        <v>35.799999999999997</v>
      </c>
      <c r="K197" s="2">
        <v>36.9</v>
      </c>
      <c r="L197" s="2">
        <v>54.6</v>
      </c>
      <c r="M197" s="2"/>
      <c r="N197" s="2">
        <v>0.38500000000000001</v>
      </c>
      <c r="O197" s="2">
        <v>72.099999999999994</v>
      </c>
      <c r="P197" s="2">
        <v>0.95699999999999996</v>
      </c>
      <c r="Q197" s="2">
        <v>4</v>
      </c>
      <c r="R197" s="2">
        <v>60.9</v>
      </c>
      <c r="S197" s="2">
        <v>30.5</v>
      </c>
      <c r="T197" s="25">
        <v>0.74399999999999999</v>
      </c>
      <c r="U197" s="2">
        <v>16.5</v>
      </c>
      <c r="V197" s="2">
        <v>33.6</v>
      </c>
      <c r="W197" s="2">
        <v>40.9</v>
      </c>
      <c r="X197" s="2">
        <v>0.06</v>
      </c>
      <c r="Y197" s="2">
        <v>48.4</v>
      </c>
      <c r="Z197" s="2">
        <v>0.129</v>
      </c>
      <c r="AA197" s="2">
        <v>0.186</v>
      </c>
      <c r="AB197" s="2">
        <v>0.21199999999999999</v>
      </c>
      <c r="AC197" s="2">
        <v>0.28899999999999998</v>
      </c>
      <c r="AD197" s="67">
        <v>0.4</v>
      </c>
      <c r="AE197" s="2">
        <v>24</v>
      </c>
      <c r="AF197" s="2">
        <v>9</v>
      </c>
      <c r="AG197" s="2">
        <v>30</v>
      </c>
    </row>
    <row r="198" spans="1:33" x14ac:dyDescent="0.45">
      <c r="A198" s="1" t="s">
        <v>19</v>
      </c>
      <c r="B198" s="2">
        <v>6</v>
      </c>
      <c r="C198" s="2">
        <v>1.0760000000000001</v>
      </c>
      <c r="D198" s="2">
        <v>1</v>
      </c>
      <c r="E198" s="2">
        <v>7.5999999999999998E-2</v>
      </c>
      <c r="F198" s="2">
        <v>47.4</v>
      </c>
      <c r="G198" s="2">
        <v>32.200000000000003</v>
      </c>
      <c r="H198" s="2">
        <v>20.399999999999999</v>
      </c>
      <c r="I198" s="2">
        <v>110.7</v>
      </c>
      <c r="J198" s="2">
        <v>34.1</v>
      </c>
      <c r="K198" s="2">
        <v>40.200000000000003</v>
      </c>
      <c r="L198" s="2">
        <v>51.1</v>
      </c>
      <c r="M198" s="2"/>
      <c r="N198" s="2">
        <v>0.35599999999999998</v>
      </c>
      <c r="O198" s="2">
        <v>71.7</v>
      </c>
      <c r="P198" s="2">
        <v>0.97599999999999998</v>
      </c>
      <c r="Q198" s="2">
        <v>3.7</v>
      </c>
      <c r="R198" s="2">
        <v>57.3</v>
      </c>
      <c r="S198" s="2">
        <v>22.8</v>
      </c>
      <c r="T198" s="25">
        <v>0.72099999999999997</v>
      </c>
      <c r="U198" s="2">
        <v>12.4</v>
      </c>
      <c r="V198" s="2">
        <v>32.5</v>
      </c>
      <c r="W198" s="2">
        <v>43.5</v>
      </c>
      <c r="X198" s="2">
        <v>6.7000000000000004E-2</v>
      </c>
      <c r="Y198" s="2">
        <v>50.5</v>
      </c>
      <c r="Z198" s="2">
        <v>0.122</v>
      </c>
      <c r="AA198" s="2">
        <v>0.19500000000000001</v>
      </c>
      <c r="AB198" s="2">
        <v>0.19800000000000001</v>
      </c>
      <c r="AC198" s="2">
        <v>0.39400000000000002</v>
      </c>
      <c r="AD198" s="67">
        <v>0.58299999999999996</v>
      </c>
      <c r="AE198" s="2">
        <v>22</v>
      </c>
      <c r="AF198" s="2">
        <v>11</v>
      </c>
      <c r="AG198" s="2">
        <v>29</v>
      </c>
    </row>
    <row r="199" spans="1:33" x14ac:dyDescent="0.4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</row>
    <row r="200" spans="1:33" x14ac:dyDescent="0.45">
      <c r="A200" s="1" t="s">
        <v>34</v>
      </c>
      <c r="B200" s="2">
        <v>3</v>
      </c>
      <c r="C200" s="2">
        <v>1.1719999999999999</v>
      </c>
      <c r="D200" s="2">
        <v>0.97899999999999998</v>
      </c>
      <c r="E200" s="2">
        <v>0.193</v>
      </c>
      <c r="F200" s="2">
        <v>45.8</v>
      </c>
      <c r="G200" s="2">
        <v>37.200000000000003</v>
      </c>
      <c r="H200" s="2">
        <v>17.100000000000001</v>
      </c>
      <c r="I200" s="2">
        <v>116.1</v>
      </c>
      <c r="J200" s="2">
        <v>37.9</v>
      </c>
      <c r="K200" s="2">
        <v>44.6</v>
      </c>
      <c r="L200" s="2">
        <v>55.5</v>
      </c>
      <c r="M200" s="2"/>
      <c r="N200" s="2">
        <v>0.29699999999999999</v>
      </c>
      <c r="O200" s="2">
        <v>69</v>
      </c>
      <c r="P200" s="2">
        <v>1.006</v>
      </c>
      <c r="Q200" s="2">
        <v>3.4</v>
      </c>
      <c r="R200" s="2">
        <v>59.4</v>
      </c>
      <c r="S200" s="2">
        <v>32.200000000000003</v>
      </c>
      <c r="T200" s="25">
        <v>0.73099999999999998</v>
      </c>
      <c r="U200" s="2">
        <v>14.4</v>
      </c>
      <c r="V200" s="2">
        <v>32.4</v>
      </c>
      <c r="W200" s="2">
        <v>34.6</v>
      </c>
      <c r="X200" s="2">
        <v>5.5E-2</v>
      </c>
      <c r="Y200" s="2">
        <v>48</v>
      </c>
      <c r="Z200" s="2">
        <v>9.1999999999999998E-2</v>
      </c>
      <c r="AA200" s="2">
        <v>0.16200000000000001</v>
      </c>
      <c r="AB200" s="2">
        <v>0.16700000000000001</v>
      </c>
      <c r="AC200" s="2">
        <v>0.33500000000000002</v>
      </c>
      <c r="AD200" s="67">
        <v>0.58299999999999996</v>
      </c>
      <c r="AE200" s="2">
        <v>25</v>
      </c>
      <c r="AF200" s="2">
        <v>8</v>
      </c>
      <c r="AG200" s="2">
        <v>47</v>
      </c>
    </row>
    <row r="201" spans="1:33" x14ac:dyDescent="0.45">
      <c r="A201" s="2" t="s">
        <v>33</v>
      </c>
      <c r="B201" s="2">
        <v>11</v>
      </c>
      <c r="C201" s="2">
        <v>1.1100000000000001</v>
      </c>
      <c r="D201" s="2">
        <v>0.96499999999999997</v>
      </c>
      <c r="E201" s="2">
        <v>0.14499999999999999</v>
      </c>
      <c r="F201" s="2">
        <v>50.2</v>
      </c>
      <c r="G201" s="2">
        <v>28.1</v>
      </c>
      <c r="H201" s="2">
        <v>21.7</v>
      </c>
      <c r="I201" s="2">
        <v>114.4</v>
      </c>
      <c r="J201" s="2">
        <v>35</v>
      </c>
      <c r="K201" s="2">
        <v>36.799999999999997</v>
      </c>
      <c r="L201" s="2">
        <v>53.8</v>
      </c>
      <c r="M201" s="2"/>
      <c r="N201" s="2">
        <v>0.43</v>
      </c>
      <c r="O201" s="2">
        <v>61.9</v>
      </c>
      <c r="P201" s="2">
        <v>0.96499999999999997</v>
      </c>
      <c r="Q201" s="2">
        <v>5.3</v>
      </c>
      <c r="R201" s="2">
        <v>58.5</v>
      </c>
      <c r="S201" s="2">
        <v>35.9</v>
      </c>
      <c r="T201" s="25">
        <v>0.76900000000000002</v>
      </c>
      <c r="U201" s="2">
        <v>18.2</v>
      </c>
      <c r="V201" s="2">
        <v>31.2</v>
      </c>
      <c r="W201" s="2">
        <v>38.6</v>
      </c>
      <c r="X201" s="2">
        <v>5.1999999999999998E-2</v>
      </c>
      <c r="Y201" s="2">
        <v>51.7</v>
      </c>
      <c r="Z201" s="2">
        <v>0.14099999999999999</v>
      </c>
      <c r="AA201" s="2">
        <v>0.16400000000000001</v>
      </c>
      <c r="AB201" s="2">
        <v>0.214</v>
      </c>
      <c r="AC201" s="2">
        <v>0.35799999999999998</v>
      </c>
      <c r="AD201" s="67">
        <v>0.71399999999999997</v>
      </c>
      <c r="AE201" s="2">
        <v>30</v>
      </c>
      <c r="AF201" s="2">
        <v>3</v>
      </c>
      <c r="AG201" s="2">
        <v>142</v>
      </c>
    </row>
    <row r="202" spans="1:33" x14ac:dyDescent="0.4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</row>
    <row r="203" spans="1:33" s="15" customFormat="1" ht="14.65" thickBot="1" x14ac:dyDescent="0.5">
      <c r="A203" s="13" t="s">
        <v>45</v>
      </c>
      <c r="B203" s="41">
        <v>3</v>
      </c>
      <c r="C203" s="41">
        <v>1.131</v>
      </c>
      <c r="D203" s="41">
        <v>0.999</v>
      </c>
      <c r="E203" s="41">
        <v>0.13200000000000001</v>
      </c>
      <c r="F203" s="41">
        <v>42.2</v>
      </c>
      <c r="G203" s="41">
        <v>37</v>
      </c>
      <c r="H203" s="41">
        <v>20.8</v>
      </c>
      <c r="I203" s="41">
        <v>116.8</v>
      </c>
      <c r="J203" s="41">
        <v>34.9</v>
      </c>
      <c r="K203" s="41">
        <v>48.1</v>
      </c>
      <c r="L203" s="41">
        <v>53.6</v>
      </c>
      <c r="M203" s="41"/>
      <c r="N203" s="41">
        <v>0.33800000000000002</v>
      </c>
      <c r="O203" s="41">
        <v>70.5</v>
      </c>
      <c r="P203" s="41">
        <v>0.97099999999999997</v>
      </c>
      <c r="Q203" s="41">
        <v>-0.5</v>
      </c>
      <c r="R203" s="41">
        <v>61.8</v>
      </c>
      <c r="S203" s="41">
        <v>24.7</v>
      </c>
      <c r="T203" s="61">
        <v>0.752</v>
      </c>
      <c r="U203" s="41">
        <v>13.8</v>
      </c>
      <c r="V203" s="41">
        <v>33.299999999999997</v>
      </c>
      <c r="W203" s="41">
        <v>39.1</v>
      </c>
      <c r="X203" s="41">
        <v>3.9E-2</v>
      </c>
      <c r="Y203" s="41">
        <v>47.9</v>
      </c>
      <c r="Z203" s="41">
        <v>7.2999999999999995E-2</v>
      </c>
      <c r="AA203" s="41">
        <v>0.17899999999999999</v>
      </c>
      <c r="AB203" s="41">
        <v>0.14099999999999999</v>
      </c>
      <c r="AC203" s="41">
        <v>0.28100000000000003</v>
      </c>
      <c r="AD203" s="68">
        <v>0.5</v>
      </c>
      <c r="AE203" s="41">
        <v>26</v>
      </c>
      <c r="AF203" s="41">
        <v>9</v>
      </c>
      <c r="AG203" s="41">
        <v>18</v>
      </c>
    </row>
    <row r="204" spans="1:33" x14ac:dyDescent="0.45">
      <c r="A204" s="1" t="s">
        <v>2</v>
      </c>
      <c r="B204" s="2">
        <v>6</v>
      </c>
      <c r="C204" s="2">
        <v>1.143</v>
      </c>
      <c r="D204" s="2">
        <v>1</v>
      </c>
      <c r="E204" s="2">
        <v>0.14299999999999999</v>
      </c>
      <c r="F204" s="2">
        <v>45.3</v>
      </c>
      <c r="G204" s="2">
        <v>38.700000000000003</v>
      </c>
      <c r="H204" s="2">
        <v>16</v>
      </c>
      <c r="I204" s="2">
        <v>118.5</v>
      </c>
      <c r="J204" s="2">
        <v>37.1</v>
      </c>
      <c r="K204" s="2">
        <v>48.3</v>
      </c>
      <c r="L204" s="2">
        <v>57.2</v>
      </c>
      <c r="M204" s="2"/>
      <c r="N204" s="2">
        <v>0.30199999999999999</v>
      </c>
      <c r="O204" s="2">
        <v>70.900000000000006</v>
      </c>
      <c r="P204" s="2">
        <v>0.96199999999999997</v>
      </c>
      <c r="Q204" s="2">
        <v>1.3</v>
      </c>
      <c r="R204" s="2">
        <v>63.9</v>
      </c>
      <c r="S204" s="2">
        <v>31.6</v>
      </c>
      <c r="T204" s="25">
        <v>0.75700000000000001</v>
      </c>
      <c r="U204" s="2">
        <v>17.100000000000001</v>
      </c>
      <c r="V204" s="2">
        <v>35.700000000000003</v>
      </c>
      <c r="W204" s="2">
        <v>46.2</v>
      </c>
      <c r="X204" s="2">
        <v>5.3999999999999999E-2</v>
      </c>
      <c r="Y204" s="2">
        <v>50.6</v>
      </c>
      <c r="Z204" s="2">
        <v>0.1</v>
      </c>
      <c r="AA204" s="2">
        <v>0.188</v>
      </c>
      <c r="AB204" s="2">
        <v>0.16500000000000001</v>
      </c>
      <c r="AC204" s="2">
        <v>0.29499999999999998</v>
      </c>
      <c r="AD204" s="67">
        <v>0.625</v>
      </c>
      <c r="AE204" s="2">
        <v>24</v>
      </c>
      <c r="AF204" s="2">
        <v>9</v>
      </c>
      <c r="AG204" s="2">
        <v>53</v>
      </c>
    </row>
    <row r="205" spans="1:33" x14ac:dyDescent="0.4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</row>
    <row r="206" spans="1:33" x14ac:dyDescent="0.45">
      <c r="A206" s="2" t="s">
        <v>55</v>
      </c>
      <c r="B206" s="2">
        <v>4</v>
      </c>
      <c r="C206" s="2">
        <v>1.1499999999999999</v>
      </c>
      <c r="D206" s="2">
        <v>1.0489999999999999</v>
      </c>
      <c r="E206" s="2">
        <v>0.10100000000000001</v>
      </c>
      <c r="F206" s="2">
        <v>49.6</v>
      </c>
      <c r="G206" s="2">
        <v>31.9</v>
      </c>
      <c r="H206" s="2">
        <v>18.5</v>
      </c>
      <c r="I206" s="2">
        <v>118.2</v>
      </c>
      <c r="J206" s="2">
        <v>38.5</v>
      </c>
      <c r="K206" s="2">
        <v>38.1</v>
      </c>
      <c r="L206" s="2">
        <v>56.3</v>
      </c>
      <c r="M206" s="2"/>
      <c r="N206" s="2">
        <v>0.34599999999999997</v>
      </c>
      <c r="O206" s="2">
        <v>67.7</v>
      </c>
      <c r="P206" s="2">
        <v>0.97</v>
      </c>
      <c r="Q206" s="2">
        <v>1.1000000000000001</v>
      </c>
      <c r="R206" s="2">
        <v>60.3</v>
      </c>
      <c r="S206" s="2">
        <v>29.2</v>
      </c>
      <c r="T206" s="25">
        <v>0.71299999999999997</v>
      </c>
      <c r="U206" s="2">
        <v>15.3</v>
      </c>
      <c r="V206" s="2">
        <v>31.2</v>
      </c>
      <c r="W206" s="2">
        <v>42.6</v>
      </c>
      <c r="X206" s="2">
        <v>2.9000000000000001E-2</v>
      </c>
      <c r="Y206" s="2">
        <v>52</v>
      </c>
      <c r="Z206" s="2">
        <v>9.6000000000000002E-2</v>
      </c>
      <c r="AA206" s="2">
        <v>0.217</v>
      </c>
      <c r="AB206" s="2">
        <v>0.17399999999999999</v>
      </c>
      <c r="AC206" s="2">
        <v>0.31</v>
      </c>
      <c r="AD206" s="67">
        <v>0.57099999999999995</v>
      </c>
      <c r="AE206" s="2">
        <v>22</v>
      </c>
      <c r="AF206" s="2">
        <v>11</v>
      </c>
      <c r="AG206" s="2">
        <v>2</v>
      </c>
    </row>
    <row r="207" spans="1:33" x14ac:dyDescent="0.45">
      <c r="A207" s="1" t="s">
        <v>72</v>
      </c>
      <c r="B207" s="2">
        <v>12</v>
      </c>
      <c r="C207" s="2">
        <v>1.1180000000000001</v>
      </c>
      <c r="D207" s="2">
        <v>0.95199999999999996</v>
      </c>
      <c r="E207" s="2">
        <v>0.16600000000000001</v>
      </c>
      <c r="F207" s="2">
        <v>51.7</v>
      </c>
      <c r="G207" s="2">
        <v>29.6</v>
      </c>
      <c r="H207" s="2">
        <v>18.8</v>
      </c>
      <c r="I207" s="2">
        <v>111.7</v>
      </c>
      <c r="J207" s="2">
        <v>35.6</v>
      </c>
      <c r="K207" s="2">
        <v>36.700000000000003</v>
      </c>
      <c r="L207" s="2">
        <v>53.3</v>
      </c>
      <c r="M207" s="2"/>
      <c r="N207" s="2">
        <v>0.35699999999999998</v>
      </c>
      <c r="O207" s="2">
        <v>67.400000000000006</v>
      </c>
      <c r="P207" s="2">
        <v>0.997</v>
      </c>
      <c r="Q207" s="2">
        <v>4.7</v>
      </c>
      <c r="R207" s="2">
        <v>58</v>
      </c>
      <c r="S207" s="2">
        <v>33.799999999999997</v>
      </c>
      <c r="T207" s="25">
        <v>0.70299999999999996</v>
      </c>
      <c r="U207" s="2">
        <v>15.9</v>
      </c>
      <c r="V207" s="2">
        <v>32.4</v>
      </c>
      <c r="W207" s="2">
        <v>46.9</v>
      </c>
      <c r="X207" s="2">
        <v>6.4000000000000001E-2</v>
      </c>
      <c r="Y207" s="2">
        <v>47.5</v>
      </c>
      <c r="Z207" s="2">
        <v>0.13</v>
      </c>
      <c r="AA207" s="2">
        <v>0.17899999999999999</v>
      </c>
      <c r="AB207" s="2">
        <v>0.21199999999999999</v>
      </c>
      <c r="AC207" s="2">
        <v>0.314</v>
      </c>
      <c r="AD207" s="67">
        <v>0.6</v>
      </c>
      <c r="AE207" s="2">
        <v>27</v>
      </c>
      <c r="AF207" s="2">
        <v>6</v>
      </c>
      <c r="AG207" s="2">
        <v>272</v>
      </c>
    </row>
    <row r="208" spans="1:33" x14ac:dyDescent="0.4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</row>
    <row r="209" spans="1:33" x14ac:dyDescent="0.45">
      <c r="A209" s="1" t="s">
        <v>43</v>
      </c>
      <c r="B209" s="2">
        <v>4</v>
      </c>
      <c r="C209" s="2">
        <v>1.1259999999999999</v>
      </c>
      <c r="D209" s="2">
        <v>0.998</v>
      </c>
      <c r="E209" s="2">
        <v>0.128</v>
      </c>
      <c r="F209" s="2">
        <v>53.1</v>
      </c>
      <c r="G209" s="2">
        <v>26.1</v>
      </c>
      <c r="H209" s="2">
        <v>20.8</v>
      </c>
      <c r="I209" s="2">
        <v>115</v>
      </c>
      <c r="J209" s="2">
        <v>32.4</v>
      </c>
      <c r="K209" s="2">
        <v>34.6</v>
      </c>
      <c r="L209" s="2">
        <v>52.9</v>
      </c>
      <c r="M209" s="2"/>
      <c r="N209" s="2">
        <v>0.36599999999999999</v>
      </c>
      <c r="O209" s="2">
        <v>72.599999999999994</v>
      </c>
      <c r="P209" s="2">
        <v>0.99</v>
      </c>
      <c r="Q209" s="2">
        <v>2.1</v>
      </c>
      <c r="R209" s="2">
        <v>58.9</v>
      </c>
      <c r="S209" s="2">
        <v>34.6</v>
      </c>
      <c r="T209" s="25">
        <v>0.748</v>
      </c>
      <c r="U209" s="2">
        <v>15.8</v>
      </c>
      <c r="V209" s="2">
        <v>34</v>
      </c>
      <c r="W209" s="2">
        <v>41.3</v>
      </c>
      <c r="X209" s="2">
        <v>7.0999999999999994E-2</v>
      </c>
      <c r="Y209" s="2">
        <v>48.6</v>
      </c>
      <c r="Z209" s="2">
        <v>0.104</v>
      </c>
      <c r="AA209" s="2">
        <v>0.184</v>
      </c>
      <c r="AB209" s="2">
        <v>0.158</v>
      </c>
      <c r="AC209" s="2">
        <v>0.29199999999999998</v>
      </c>
      <c r="AD209" s="67">
        <v>0.16700000000000001</v>
      </c>
      <c r="AE209" s="2">
        <v>22</v>
      </c>
      <c r="AF209" s="2">
        <v>12</v>
      </c>
      <c r="AG209" s="2">
        <v>6</v>
      </c>
    </row>
    <row r="210" spans="1:33" x14ac:dyDescent="0.45">
      <c r="A210" s="2" t="s">
        <v>41</v>
      </c>
      <c r="B210" s="2">
        <v>5</v>
      </c>
      <c r="C210" s="2">
        <v>1.0740000000000001</v>
      </c>
      <c r="D210" s="2">
        <v>0.999</v>
      </c>
      <c r="E210" s="2">
        <v>7.4999999999999997E-2</v>
      </c>
      <c r="F210" s="2">
        <v>50.5</v>
      </c>
      <c r="G210" s="2">
        <v>30.3</v>
      </c>
      <c r="H210" s="2">
        <v>19.2</v>
      </c>
      <c r="I210" s="2">
        <v>112.4</v>
      </c>
      <c r="J210" s="2">
        <v>34</v>
      </c>
      <c r="K210" s="2">
        <v>38.6</v>
      </c>
      <c r="L210" s="2">
        <v>52.2</v>
      </c>
      <c r="M210" s="2"/>
      <c r="N210" s="2">
        <v>0.33400000000000002</v>
      </c>
      <c r="O210" s="2">
        <v>71</v>
      </c>
      <c r="P210" s="2">
        <v>0.95599999999999996</v>
      </c>
      <c r="Q210" s="2">
        <v>-0.2</v>
      </c>
      <c r="R210" s="2">
        <v>58.4</v>
      </c>
      <c r="S210" s="2">
        <v>27.6</v>
      </c>
      <c r="T210" s="25">
        <v>0.72099999999999997</v>
      </c>
      <c r="U210" s="2">
        <v>15.9</v>
      </c>
      <c r="V210" s="2">
        <v>31.6</v>
      </c>
      <c r="W210" s="2">
        <v>37.700000000000003</v>
      </c>
      <c r="X210" s="2">
        <v>6.2E-2</v>
      </c>
      <c r="Y210" s="2">
        <v>49</v>
      </c>
      <c r="Z210" s="2">
        <v>0.10100000000000001</v>
      </c>
      <c r="AA210" s="2">
        <v>0.182</v>
      </c>
      <c r="AB210" s="2">
        <v>0.17100000000000001</v>
      </c>
      <c r="AC210" s="2">
        <v>0.27800000000000002</v>
      </c>
      <c r="AD210" s="67">
        <v>0.77800000000000002</v>
      </c>
      <c r="AE210" s="2">
        <v>24</v>
      </c>
      <c r="AF210" s="2">
        <v>9</v>
      </c>
      <c r="AG210" s="2">
        <v>12</v>
      </c>
    </row>
    <row r="211" spans="1:33" x14ac:dyDescent="0.4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</row>
    <row r="212" spans="1:33" x14ac:dyDescent="0.45">
      <c r="A212" s="1" t="s">
        <v>69</v>
      </c>
      <c r="B212" s="2">
        <v>4</v>
      </c>
      <c r="C212" s="2">
        <v>1.0580000000000001</v>
      </c>
      <c r="D212" s="2">
        <v>0.96799999999999997</v>
      </c>
      <c r="E212" s="2">
        <v>0.09</v>
      </c>
      <c r="F212" s="2">
        <v>48.9</v>
      </c>
      <c r="G212" s="2">
        <v>28</v>
      </c>
      <c r="H212" s="2">
        <v>23.1</v>
      </c>
      <c r="I212" s="2">
        <v>103.5</v>
      </c>
      <c r="J212" s="2">
        <v>37.4</v>
      </c>
      <c r="K212" s="2">
        <v>41.7</v>
      </c>
      <c r="L212" s="2">
        <v>56</v>
      </c>
      <c r="M212" s="2"/>
      <c r="N212" s="2">
        <v>0.41699999999999998</v>
      </c>
      <c r="O212" s="2">
        <v>70.2</v>
      </c>
      <c r="P212" s="2">
        <v>1.0189999999999999</v>
      </c>
      <c r="Q212" s="2">
        <v>6.6</v>
      </c>
      <c r="R212" s="2">
        <v>56.7</v>
      </c>
      <c r="S212" s="2">
        <v>40.200000000000003</v>
      </c>
      <c r="T212" s="25">
        <v>0.745</v>
      </c>
      <c r="U212" s="2">
        <v>17.600000000000001</v>
      </c>
      <c r="V212" s="2">
        <v>33.299999999999997</v>
      </c>
      <c r="W212" s="2">
        <v>46.2</v>
      </c>
      <c r="X212" s="2">
        <v>7.2999999999999995E-2</v>
      </c>
      <c r="Y212" s="2">
        <v>48.2</v>
      </c>
      <c r="Z212" s="2">
        <v>0.107</v>
      </c>
      <c r="AA212" s="2">
        <v>0.20699999999999999</v>
      </c>
      <c r="AB212" s="2">
        <v>0.188</v>
      </c>
      <c r="AC212" s="2">
        <v>0.35299999999999998</v>
      </c>
      <c r="AD212" s="67">
        <v>0.66700000000000004</v>
      </c>
      <c r="AE212" s="2">
        <v>22</v>
      </c>
      <c r="AF212" s="2">
        <v>10</v>
      </c>
      <c r="AG212" s="2">
        <v>8</v>
      </c>
    </row>
    <row r="213" spans="1:33" s="15" customFormat="1" ht="14.65" thickBot="1" x14ac:dyDescent="0.5">
      <c r="A213" s="13" t="s">
        <v>17</v>
      </c>
      <c r="B213" s="41">
        <v>5</v>
      </c>
      <c r="C213" s="41">
        <v>1.0720000000000001</v>
      </c>
      <c r="D213" s="41">
        <v>0.97499999999999998</v>
      </c>
      <c r="E213" s="41">
        <v>9.7000000000000003E-2</v>
      </c>
      <c r="F213" s="41">
        <v>49.2</v>
      </c>
      <c r="G213" s="41">
        <v>31.5</v>
      </c>
      <c r="H213" s="41">
        <v>19.3</v>
      </c>
      <c r="I213" s="41">
        <v>114.8</v>
      </c>
      <c r="J213" s="41">
        <v>33.4</v>
      </c>
      <c r="K213" s="41">
        <v>42.5</v>
      </c>
      <c r="L213" s="41">
        <v>54.5</v>
      </c>
      <c r="M213" s="41"/>
      <c r="N213" s="41">
        <v>0.35</v>
      </c>
      <c r="O213" s="41">
        <v>73</v>
      </c>
      <c r="P213" s="41">
        <v>0.93799999999999994</v>
      </c>
      <c r="Q213" s="41">
        <v>-3</v>
      </c>
      <c r="R213" s="41">
        <v>61.8</v>
      </c>
      <c r="S213" s="41">
        <v>31.2</v>
      </c>
      <c r="T213" s="61">
        <v>0.72499999999999998</v>
      </c>
      <c r="U213" s="41">
        <v>19.3</v>
      </c>
      <c r="V213" s="41">
        <v>30.8</v>
      </c>
      <c r="W213" s="41">
        <v>39.1</v>
      </c>
      <c r="X213" s="41">
        <v>5.8000000000000003E-2</v>
      </c>
      <c r="Y213" s="41">
        <v>46.3</v>
      </c>
      <c r="Z213" s="41">
        <v>7.1999999999999995E-2</v>
      </c>
      <c r="AA213" s="41">
        <v>0.155</v>
      </c>
      <c r="AB213" s="41">
        <v>0.153</v>
      </c>
      <c r="AC213" s="41">
        <v>0.28499999999999998</v>
      </c>
      <c r="AD213" s="68">
        <v>0.75</v>
      </c>
      <c r="AE213" s="41">
        <v>25</v>
      </c>
      <c r="AF213" s="41">
        <v>9</v>
      </c>
      <c r="AG213" s="41">
        <v>7</v>
      </c>
    </row>
    <row r="214" spans="1:33" x14ac:dyDescent="0.4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</row>
    <row r="215" spans="1:33" s="15" customFormat="1" ht="14.65" thickBot="1" x14ac:dyDescent="0.5">
      <c r="A215" s="13" t="s">
        <v>30</v>
      </c>
      <c r="B215" s="41">
        <v>4</v>
      </c>
      <c r="C215" s="41">
        <v>1.127</v>
      </c>
      <c r="D215" s="41">
        <v>0.92400000000000004</v>
      </c>
      <c r="E215" s="41">
        <v>0.20300000000000001</v>
      </c>
      <c r="F215" s="41">
        <v>51.2</v>
      </c>
      <c r="G215" s="41">
        <v>30</v>
      </c>
      <c r="H215" s="41">
        <v>18.8</v>
      </c>
      <c r="I215" s="41">
        <v>114</v>
      </c>
      <c r="J215" s="41">
        <v>37.200000000000003</v>
      </c>
      <c r="K215" s="41">
        <v>35.5</v>
      </c>
      <c r="L215" s="41">
        <v>53.8</v>
      </c>
      <c r="M215" s="41"/>
      <c r="N215" s="41">
        <v>0.32900000000000001</v>
      </c>
      <c r="O215" s="41">
        <v>72.5</v>
      </c>
      <c r="P215" s="41">
        <v>0.98299999999999998</v>
      </c>
      <c r="Q215" s="41">
        <v>4.3</v>
      </c>
      <c r="R215" s="41">
        <v>56</v>
      </c>
      <c r="S215" s="41">
        <v>28.9</v>
      </c>
      <c r="T215" s="61">
        <v>0.73799999999999999</v>
      </c>
      <c r="U215" s="41">
        <v>14.2</v>
      </c>
      <c r="V215" s="41">
        <v>30.6</v>
      </c>
      <c r="W215" s="41">
        <v>36.200000000000003</v>
      </c>
      <c r="X215" s="41">
        <v>7.4999999999999997E-2</v>
      </c>
      <c r="Y215" s="41">
        <v>47</v>
      </c>
      <c r="Z215" s="41">
        <v>0.109</v>
      </c>
      <c r="AA215" s="41">
        <v>0.16700000000000001</v>
      </c>
      <c r="AB215" s="41">
        <v>0.19700000000000001</v>
      </c>
      <c r="AC215" s="41">
        <v>0.25900000000000001</v>
      </c>
      <c r="AD215" s="68">
        <v>0.36399999999999999</v>
      </c>
      <c r="AE215" s="41">
        <v>25</v>
      </c>
      <c r="AF215" s="41">
        <v>8</v>
      </c>
      <c r="AG215" s="41">
        <v>61</v>
      </c>
    </row>
    <row r="216" spans="1:33" x14ac:dyDescent="0.45">
      <c r="A216" s="2" t="s">
        <v>29</v>
      </c>
      <c r="B216" s="2">
        <v>12</v>
      </c>
      <c r="C216" s="2">
        <v>1.101</v>
      </c>
      <c r="D216" s="2">
        <v>0.98099999999999998</v>
      </c>
      <c r="E216" s="2">
        <v>0.12</v>
      </c>
      <c r="F216" s="2">
        <v>47.5</v>
      </c>
      <c r="G216" s="2">
        <v>34.4</v>
      </c>
      <c r="H216" s="2">
        <v>18.100000000000001</v>
      </c>
      <c r="I216" s="2">
        <v>117.9</v>
      </c>
      <c r="J216" s="2">
        <v>36.6</v>
      </c>
      <c r="K216" s="2">
        <v>42.8</v>
      </c>
      <c r="L216" s="2">
        <v>55.8</v>
      </c>
      <c r="M216" s="2"/>
      <c r="N216" s="2">
        <v>0.318</v>
      </c>
      <c r="O216" s="2">
        <v>68.400000000000006</v>
      </c>
      <c r="P216" s="2">
        <v>0.93700000000000006</v>
      </c>
      <c r="Q216" s="2">
        <v>-1</v>
      </c>
      <c r="R216" s="2">
        <v>61.6</v>
      </c>
      <c r="S216" s="2">
        <v>24.7</v>
      </c>
      <c r="T216" s="25">
        <v>0.75700000000000001</v>
      </c>
      <c r="U216" s="2">
        <v>17</v>
      </c>
      <c r="V216" s="2">
        <v>33.200000000000003</v>
      </c>
      <c r="W216" s="2">
        <v>38</v>
      </c>
      <c r="X216" s="2">
        <v>4.9000000000000002E-2</v>
      </c>
      <c r="Y216" s="2">
        <v>48.5</v>
      </c>
      <c r="Z216" s="2">
        <v>7.4999999999999997E-2</v>
      </c>
      <c r="AA216" s="2">
        <v>0.16200000000000001</v>
      </c>
      <c r="AB216" s="2">
        <v>0.16400000000000001</v>
      </c>
      <c r="AC216" s="2">
        <v>0.33600000000000002</v>
      </c>
      <c r="AD216" s="67">
        <v>0.83299999999999996</v>
      </c>
      <c r="AE216" s="2">
        <v>25</v>
      </c>
      <c r="AF216" s="2">
        <v>9</v>
      </c>
      <c r="AG216" s="2">
        <v>83</v>
      </c>
    </row>
    <row r="217" spans="1:33" x14ac:dyDescent="0.4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</row>
    <row r="218" spans="1:33" ht="14.65" thickBot="1" x14ac:dyDescent="0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spans="1:33" x14ac:dyDescent="0.45">
      <c r="A219" s="70" t="s">
        <v>76</v>
      </c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2"/>
    </row>
    <row r="220" spans="1:33" ht="14.65" thickBot="1" x14ac:dyDescent="0.5">
      <c r="A220" s="73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5"/>
    </row>
    <row r="221" spans="1:33" x14ac:dyDescent="0.45">
      <c r="A221" s="1" t="s">
        <v>14</v>
      </c>
      <c r="B221" s="2">
        <v>1</v>
      </c>
      <c r="C221" s="2">
        <v>1.1819999999999999</v>
      </c>
      <c r="D221" s="2">
        <v>0.98099999999999998</v>
      </c>
      <c r="E221" s="2">
        <v>0.20100000000000001</v>
      </c>
      <c r="F221" s="2">
        <v>48.8</v>
      </c>
      <c r="G221" s="2">
        <v>32.799999999999997</v>
      </c>
      <c r="H221" s="2">
        <v>18.3</v>
      </c>
      <c r="I221" s="2">
        <v>117.1</v>
      </c>
      <c r="J221" s="2">
        <v>36.799999999999997</v>
      </c>
      <c r="K221" s="2">
        <v>40.6</v>
      </c>
      <c r="L221" s="2">
        <v>55.7</v>
      </c>
      <c r="M221" s="2"/>
      <c r="N221" s="2">
        <v>0.33500000000000002</v>
      </c>
      <c r="O221" s="2">
        <v>70.900000000000006</v>
      </c>
      <c r="P221" s="2">
        <v>1.014</v>
      </c>
      <c r="Q221" s="2">
        <v>4.3</v>
      </c>
      <c r="R221" s="2">
        <v>60.5</v>
      </c>
      <c r="S221" s="2">
        <v>33.299999999999997</v>
      </c>
      <c r="T221" s="25">
        <v>0.73199999999999998</v>
      </c>
      <c r="U221" s="2">
        <v>13</v>
      </c>
      <c r="V221" s="2">
        <v>29.8</v>
      </c>
      <c r="W221" s="2">
        <v>35.299999999999997</v>
      </c>
      <c r="X221" s="2">
        <v>0.10199999999999999</v>
      </c>
      <c r="Y221" s="2">
        <v>46</v>
      </c>
      <c r="Z221" s="2">
        <v>9.5000000000000001E-2</v>
      </c>
      <c r="AA221" s="2">
        <v>0.13500000000000001</v>
      </c>
      <c r="AB221" s="2">
        <v>0.16800000000000001</v>
      </c>
      <c r="AC221" s="2">
        <v>0.39200000000000002</v>
      </c>
      <c r="AD221" s="67">
        <v>0.77800000000000002</v>
      </c>
      <c r="AE221" s="2">
        <v>28</v>
      </c>
      <c r="AF221" s="2">
        <v>5</v>
      </c>
      <c r="AG221" s="2">
        <v>3</v>
      </c>
    </row>
    <row r="222" spans="1:33" s="15" customFormat="1" ht="14.65" thickBot="1" x14ac:dyDescent="0.5">
      <c r="A222" s="13" t="s">
        <v>17</v>
      </c>
      <c r="B222" s="41">
        <v>5</v>
      </c>
      <c r="C222" s="41">
        <v>1.0720000000000001</v>
      </c>
      <c r="D222" s="41">
        <v>0.97499999999999998</v>
      </c>
      <c r="E222" s="41">
        <v>9.7000000000000003E-2</v>
      </c>
      <c r="F222" s="41">
        <v>49.2</v>
      </c>
      <c r="G222" s="41">
        <v>31.5</v>
      </c>
      <c r="H222" s="41">
        <v>19.3</v>
      </c>
      <c r="I222" s="41">
        <v>114.8</v>
      </c>
      <c r="J222" s="41">
        <v>33.4</v>
      </c>
      <c r="K222" s="41">
        <v>42.5</v>
      </c>
      <c r="L222" s="41">
        <v>54.5</v>
      </c>
      <c r="M222" s="41"/>
      <c r="N222" s="41">
        <v>0.35</v>
      </c>
      <c r="O222" s="41">
        <v>73</v>
      </c>
      <c r="P222" s="41">
        <v>0.93799999999999994</v>
      </c>
      <c r="Q222" s="41">
        <v>-3</v>
      </c>
      <c r="R222" s="41">
        <v>61.8</v>
      </c>
      <c r="S222" s="41">
        <v>31.2</v>
      </c>
      <c r="T222" s="61">
        <v>0.72499999999999998</v>
      </c>
      <c r="U222" s="41">
        <v>19.3</v>
      </c>
      <c r="V222" s="41">
        <v>30.8</v>
      </c>
      <c r="W222" s="41">
        <v>39.1</v>
      </c>
      <c r="X222" s="41">
        <v>5.8000000000000003E-2</v>
      </c>
      <c r="Y222" s="41">
        <v>46.3</v>
      </c>
      <c r="Z222" s="41">
        <v>7.1999999999999995E-2</v>
      </c>
      <c r="AA222" s="41">
        <v>0.155</v>
      </c>
      <c r="AB222" s="41">
        <v>0.153</v>
      </c>
      <c r="AC222" s="41">
        <v>0.28499999999999998</v>
      </c>
      <c r="AD222" s="68">
        <v>0.75</v>
      </c>
      <c r="AE222" s="41">
        <v>25</v>
      </c>
      <c r="AF222" s="41">
        <v>9</v>
      </c>
      <c r="AG222" s="41">
        <v>7</v>
      </c>
    </row>
    <row r="223" spans="1:33" x14ac:dyDescent="0.4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</row>
    <row r="224" spans="1:33" x14ac:dyDescent="0.45">
      <c r="A224" s="1" t="s">
        <v>26</v>
      </c>
      <c r="B224" s="2">
        <v>1</v>
      </c>
      <c r="C224" s="2">
        <v>1.1779999999999999</v>
      </c>
      <c r="D224" s="2">
        <v>0.95499999999999996</v>
      </c>
      <c r="E224" s="2">
        <v>0.27100000000000002</v>
      </c>
      <c r="F224" s="2">
        <v>47</v>
      </c>
      <c r="G224" s="2">
        <v>34.799999999999997</v>
      </c>
      <c r="H224" s="2">
        <v>18.100000000000001</v>
      </c>
      <c r="I224" s="2">
        <v>116</v>
      </c>
      <c r="J224" s="2">
        <v>35.5</v>
      </c>
      <c r="K224" s="2">
        <v>43.6</v>
      </c>
      <c r="L224" s="2">
        <v>55</v>
      </c>
      <c r="M224" s="2"/>
      <c r="N224" s="2">
        <v>0.32600000000000001</v>
      </c>
      <c r="O224" s="2">
        <v>72.5</v>
      </c>
      <c r="P224" s="2">
        <v>1.022</v>
      </c>
      <c r="Q224" s="2">
        <v>3.7</v>
      </c>
      <c r="R224" s="2">
        <v>61.6</v>
      </c>
      <c r="S224" s="2">
        <v>36.9</v>
      </c>
      <c r="T224" s="25">
        <v>0.73099999999999998</v>
      </c>
      <c r="U224" s="2">
        <v>14.7</v>
      </c>
      <c r="V224" s="2">
        <v>29.4</v>
      </c>
      <c r="W224" s="2">
        <v>37.200000000000003</v>
      </c>
      <c r="X224" s="2">
        <v>7.2999999999999995E-2</v>
      </c>
      <c r="Y224" s="2">
        <v>45.3</v>
      </c>
      <c r="Z224" s="2">
        <v>0.104</v>
      </c>
      <c r="AA224" s="2">
        <v>0.155</v>
      </c>
      <c r="AB224" s="2">
        <v>0.16400000000000001</v>
      </c>
      <c r="AC224" s="2">
        <v>0.33</v>
      </c>
      <c r="AD224" s="67">
        <v>0.5</v>
      </c>
      <c r="AE224" s="2">
        <v>30</v>
      </c>
      <c r="AF224" s="2">
        <v>4</v>
      </c>
      <c r="AG224" s="2">
        <v>32</v>
      </c>
    </row>
    <row r="225" spans="1:33" s="15" customFormat="1" ht="14.65" thickBot="1" x14ac:dyDescent="0.5">
      <c r="A225" s="13" t="s">
        <v>30</v>
      </c>
      <c r="B225" s="41">
        <v>4</v>
      </c>
      <c r="C225" s="41">
        <v>1.127</v>
      </c>
      <c r="D225" s="41">
        <v>0.92400000000000004</v>
      </c>
      <c r="E225" s="41">
        <v>0.20300000000000001</v>
      </c>
      <c r="F225" s="41">
        <v>51.2</v>
      </c>
      <c r="G225" s="41">
        <v>30</v>
      </c>
      <c r="H225" s="41">
        <v>18.8</v>
      </c>
      <c r="I225" s="41">
        <v>114</v>
      </c>
      <c r="J225" s="41">
        <v>37.200000000000003</v>
      </c>
      <c r="K225" s="41">
        <v>35.5</v>
      </c>
      <c r="L225" s="41">
        <v>53.8</v>
      </c>
      <c r="M225" s="41"/>
      <c r="N225" s="41">
        <v>0.32900000000000001</v>
      </c>
      <c r="O225" s="41">
        <v>72.5</v>
      </c>
      <c r="P225" s="41">
        <v>0.98299999999999998</v>
      </c>
      <c r="Q225" s="41">
        <v>4.3</v>
      </c>
      <c r="R225" s="41">
        <v>56</v>
      </c>
      <c r="S225" s="41">
        <v>28.9</v>
      </c>
      <c r="T225" s="61">
        <v>0.73799999999999999</v>
      </c>
      <c r="U225" s="41">
        <v>14.2</v>
      </c>
      <c r="V225" s="41">
        <v>30.6</v>
      </c>
      <c r="W225" s="41">
        <v>36.200000000000003</v>
      </c>
      <c r="X225" s="41">
        <v>7.4999999999999997E-2</v>
      </c>
      <c r="Y225" s="41">
        <v>47</v>
      </c>
      <c r="Z225" s="41">
        <v>0.109</v>
      </c>
      <c r="AA225" s="41">
        <v>0.16700000000000001</v>
      </c>
      <c r="AB225" s="41">
        <v>0.19700000000000001</v>
      </c>
      <c r="AC225" s="41">
        <v>0.25900000000000001</v>
      </c>
      <c r="AD225" s="68">
        <v>0.36399999999999999</v>
      </c>
      <c r="AE225" s="41">
        <v>25</v>
      </c>
      <c r="AF225" s="41">
        <v>8</v>
      </c>
      <c r="AG225" s="41">
        <v>61</v>
      </c>
    </row>
    <row r="226" spans="1:33" x14ac:dyDescent="0.4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</row>
    <row r="227" spans="1:33" s="15" customFormat="1" ht="14.65" thickBot="1" x14ac:dyDescent="0.5">
      <c r="A227" s="1" t="s">
        <v>39</v>
      </c>
      <c r="B227" s="1">
        <v>1</v>
      </c>
      <c r="C227" s="1">
        <v>1.2110000000000001</v>
      </c>
      <c r="D227" s="1">
        <v>0.90700000000000003</v>
      </c>
      <c r="E227" s="1">
        <v>0.30399999999999999</v>
      </c>
      <c r="F227" s="1">
        <v>45.1</v>
      </c>
      <c r="G227" s="1">
        <v>36.9</v>
      </c>
      <c r="H227" s="1">
        <v>18</v>
      </c>
      <c r="I227" s="1">
        <v>123</v>
      </c>
      <c r="J227" s="1">
        <v>37.700000000000003</v>
      </c>
      <c r="K227" s="1">
        <v>45.4</v>
      </c>
      <c r="L227" s="1">
        <v>57.4</v>
      </c>
      <c r="M227" s="1"/>
      <c r="N227" s="1">
        <v>0.32100000000000001</v>
      </c>
      <c r="O227" s="1">
        <v>68.3</v>
      </c>
      <c r="P227" s="1">
        <v>1.004</v>
      </c>
      <c r="Q227" s="1">
        <v>3.8</v>
      </c>
      <c r="R227" s="1">
        <v>64.400000000000006</v>
      </c>
      <c r="S227" s="1">
        <v>34.1</v>
      </c>
      <c r="T227" s="28">
        <v>0.76300000000000001</v>
      </c>
      <c r="U227" s="1">
        <v>14</v>
      </c>
      <c r="V227" s="1">
        <v>31.1</v>
      </c>
      <c r="W227" s="1">
        <v>38.299999999999997</v>
      </c>
      <c r="X227" s="1">
        <v>6.7000000000000004E-2</v>
      </c>
      <c r="Y227" s="1">
        <v>44.5</v>
      </c>
      <c r="Z227" s="1">
        <v>9.9000000000000005E-2</v>
      </c>
      <c r="AA227" s="1">
        <v>0.16600000000000001</v>
      </c>
      <c r="AB227" s="1">
        <v>0.16700000000000001</v>
      </c>
      <c r="AC227" s="1">
        <v>0.254</v>
      </c>
      <c r="AD227" s="69">
        <v>0.33300000000000002</v>
      </c>
      <c r="AE227" s="1">
        <v>31</v>
      </c>
      <c r="AF227" s="1">
        <v>3</v>
      </c>
      <c r="AG227" s="1">
        <v>37</v>
      </c>
    </row>
    <row r="228" spans="1:33" x14ac:dyDescent="0.45">
      <c r="A228" s="1" t="s">
        <v>43</v>
      </c>
      <c r="B228" s="2">
        <v>4</v>
      </c>
      <c r="C228" s="2">
        <v>1.1259999999999999</v>
      </c>
      <c r="D228" s="2">
        <v>0.998</v>
      </c>
      <c r="E228" s="2">
        <v>0.128</v>
      </c>
      <c r="F228" s="2">
        <v>53.1</v>
      </c>
      <c r="G228" s="2">
        <v>26.1</v>
      </c>
      <c r="H228" s="2">
        <v>20.8</v>
      </c>
      <c r="I228" s="2">
        <v>115</v>
      </c>
      <c r="J228" s="2">
        <v>32.4</v>
      </c>
      <c r="K228" s="2">
        <v>34.6</v>
      </c>
      <c r="L228" s="2">
        <v>52.9</v>
      </c>
      <c r="M228" s="2"/>
      <c r="N228" s="2">
        <v>0.36599999999999999</v>
      </c>
      <c r="O228" s="2">
        <v>72.599999999999994</v>
      </c>
      <c r="P228" s="2">
        <v>0.99</v>
      </c>
      <c r="Q228" s="2">
        <v>2.1</v>
      </c>
      <c r="R228" s="2">
        <v>58.9</v>
      </c>
      <c r="S228" s="2">
        <v>34.6</v>
      </c>
      <c r="T228" s="25">
        <v>0.748</v>
      </c>
      <c r="U228" s="2">
        <v>15.8</v>
      </c>
      <c r="V228" s="2">
        <v>34</v>
      </c>
      <c r="W228" s="2">
        <v>41.3</v>
      </c>
      <c r="X228" s="2">
        <v>7.0999999999999994E-2</v>
      </c>
      <c r="Y228" s="2">
        <v>48.6</v>
      </c>
      <c r="Z228" s="2">
        <v>0.104</v>
      </c>
      <c r="AA228" s="2">
        <v>0.184</v>
      </c>
      <c r="AB228" s="2">
        <v>0.158</v>
      </c>
      <c r="AC228" s="2">
        <v>0.29199999999999998</v>
      </c>
      <c r="AD228" s="67">
        <v>0.16700000000000001</v>
      </c>
      <c r="AE228" s="2">
        <v>22</v>
      </c>
      <c r="AF228" s="2">
        <v>12</v>
      </c>
      <c r="AG228" s="2">
        <v>6</v>
      </c>
    </row>
    <row r="229" spans="1:33" x14ac:dyDescent="0.4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</row>
    <row r="230" spans="1:33" x14ac:dyDescent="0.45">
      <c r="A230" s="1" t="s">
        <v>51</v>
      </c>
      <c r="B230" s="2">
        <v>1</v>
      </c>
      <c r="C230" s="2">
        <v>1.131</v>
      </c>
      <c r="D230" s="2">
        <v>0.89100000000000001</v>
      </c>
      <c r="E230" s="2">
        <v>0.24</v>
      </c>
      <c r="F230" s="2">
        <v>50.7</v>
      </c>
      <c r="G230" s="2">
        <v>32.700000000000003</v>
      </c>
      <c r="H230" s="2">
        <v>16.600000000000001</v>
      </c>
      <c r="I230" s="2">
        <v>111.2</v>
      </c>
      <c r="J230" s="2">
        <v>39.799999999999997</v>
      </c>
      <c r="K230" s="2">
        <v>34.5</v>
      </c>
      <c r="L230" s="2">
        <v>52.7</v>
      </c>
      <c r="M230" s="2"/>
      <c r="N230" s="2">
        <v>0.28199999999999997</v>
      </c>
      <c r="O230" s="2">
        <v>65.599999999999994</v>
      </c>
      <c r="P230" s="2">
        <v>1.026</v>
      </c>
      <c r="Q230" s="2">
        <v>8.1999999999999993</v>
      </c>
      <c r="R230" s="2">
        <v>52.3</v>
      </c>
      <c r="S230" s="2">
        <v>35.700000000000003</v>
      </c>
      <c r="T230" s="25">
        <v>0.753</v>
      </c>
      <c r="U230" s="2">
        <v>14.2</v>
      </c>
      <c r="V230" s="2">
        <v>30.2</v>
      </c>
      <c r="W230" s="2">
        <v>43.4</v>
      </c>
      <c r="X230" s="2">
        <v>0.09</v>
      </c>
      <c r="Y230" s="2">
        <v>44.9</v>
      </c>
      <c r="Z230" s="2">
        <v>0.122</v>
      </c>
      <c r="AA230" s="2">
        <v>0.16800000000000001</v>
      </c>
      <c r="AB230" s="2">
        <v>0.20899999999999999</v>
      </c>
      <c r="AC230" s="2">
        <v>0.34100000000000003</v>
      </c>
      <c r="AD230" s="67">
        <v>0.42899999999999999</v>
      </c>
      <c r="AE230" s="2">
        <v>30</v>
      </c>
      <c r="AF230" s="2">
        <v>4</v>
      </c>
      <c r="AG230" s="2">
        <v>9</v>
      </c>
    </row>
    <row r="231" spans="1:33" x14ac:dyDescent="0.45">
      <c r="A231" s="2" t="s">
        <v>55</v>
      </c>
      <c r="B231" s="2">
        <v>4</v>
      </c>
      <c r="C231" s="2">
        <v>1.1499999999999999</v>
      </c>
      <c r="D231" s="2">
        <v>1.0489999999999999</v>
      </c>
      <c r="E231" s="2">
        <v>0.10100000000000001</v>
      </c>
      <c r="F231" s="2">
        <v>49.6</v>
      </c>
      <c r="G231" s="2">
        <v>31.9</v>
      </c>
      <c r="H231" s="2">
        <v>18.5</v>
      </c>
      <c r="I231" s="2">
        <v>118.2</v>
      </c>
      <c r="J231" s="2">
        <v>38.5</v>
      </c>
      <c r="K231" s="2">
        <v>38.1</v>
      </c>
      <c r="L231" s="2">
        <v>56.3</v>
      </c>
      <c r="M231" s="2"/>
      <c r="N231" s="2">
        <v>0.34599999999999997</v>
      </c>
      <c r="O231" s="2">
        <v>67.7</v>
      </c>
      <c r="P231" s="2">
        <v>0.97</v>
      </c>
      <c r="Q231" s="2">
        <v>1.1000000000000001</v>
      </c>
      <c r="R231" s="2">
        <v>60.3</v>
      </c>
      <c r="S231" s="2">
        <v>29.2</v>
      </c>
      <c r="T231" s="25">
        <v>0.71299999999999997</v>
      </c>
      <c r="U231" s="2">
        <v>15.3</v>
      </c>
      <c r="V231" s="2">
        <v>31.2</v>
      </c>
      <c r="W231" s="2">
        <v>42.6</v>
      </c>
      <c r="X231" s="2">
        <v>2.9000000000000001E-2</v>
      </c>
      <c r="Y231" s="2">
        <v>52</v>
      </c>
      <c r="Z231" s="2">
        <v>9.6000000000000002E-2</v>
      </c>
      <c r="AA231" s="2">
        <v>0.217</v>
      </c>
      <c r="AB231" s="2">
        <v>0.17399999999999999</v>
      </c>
      <c r="AC231" s="2">
        <v>0.31</v>
      </c>
      <c r="AD231" s="67">
        <v>0.57099999999999995</v>
      </c>
      <c r="AE231" s="2">
        <v>22</v>
      </c>
      <c r="AF231" s="2">
        <v>11</v>
      </c>
      <c r="AG231" s="2">
        <v>2</v>
      </c>
    </row>
    <row r="232" spans="1:33" x14ac:dyDescent="0.4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</row>
    <row r="233" spans="1:33" x14ac:dyDescent="0.45">
      <c r="A233" s="1" t="s">
        <v>24</v>
      </c>
      <c r="B233" s="2">
        <v>2</v>
      </c>
      <c r="C233" s="2">
        <v>1.1020000000000001</v>
      </c>
      <c r="D233" s="2">
        <v>0.94799999999999995</v>
      </c>
      <c r="E233" s="2">
        <v>0.154</v>
      </c>
      <c r="F233" s="2">
        <v>54.5</v>
      </c>
      <c r="G233" s="2">
        <v>23.1</v>
      </c>
      <c r="H233" s="2">
        <v>22.4</v>
      </c>
      <c r="I233" s="2">
        <v>111.5</v>
      </c>
      <c r="J233" s="2">
        <v>30.8</v>
      </c>
      <c r="K233" s="2">
        <v>32.700000000000003</v>
      </c>
      <c r="L233" s="2">
        <v>51.2</v>
      </c>
      <c r="M233" s="2"/>
      <c r="N233" s="2">
        <v>0.378</v>
      </c>
      <c r="O233" s="2">
        <v>70.900000000000006</v>
      </c>
      <c r="P233" s="2">
        <v>0.98699999999999999</v>
      </c>
      <c r="Q233" s="2">
        <v>2.7</v>
      </c>
      <c r="R233" s="2">
        <v>57.8</v>
      </c>
      <c r="S233" s="2">
        <v>33.700000000000003</v>
      </c>
      <c r="T233" s="25">
        <v>0.77100000000000002</v>
      </c>
      <c r="U233" s="2">
        <v>16.3</v>
      </c>
      <c r="V233" s="2">
        <v>28</v>
      </c>
      <c r="W233" s="2">
        <v>40.700000000000003</v>
      </c>
      <c r="X233" s="2">
        <v>7.8E-2</v>
      </c>
      <c r="Y233" s="2">
        <v>46.1</v>
      </c>
      <c r="Z233" s="2">
        <v>7.6999999999999999E-2</v>
      </c>
      <c r="AA233" s="2">
        <v>0.17399999999999999</v>
      </c>
      <c r="AB233" s="2">
        <v>0.159</v>
      </c>
      <c r="AC233" s="2">
        <v>0.33100000000000002</v>
      </c>
      <c r="AD233" s="67">
        <v>0.57099999999999995</v>
      </c>
      <c r="AE233" s="2">
        <v>27</v>
      </c>
      <c r="AF233" s="2">
        <v>6</v>
      </c>
      <c r="AG233" s="2">
        <v>19</v>
      </c>
    </row>
    <row r="234" spans="1:33" x14ac:dyDescent="0.45">
      <c r="A234" s="1" t="s">
        <v>19</v>
      </c>
      <c r="B234" s="2">
        <v>6</v>
      </c>
      <c r="C234" s="2">
        <v>1.0760000000000001</v>
      </c>
      <c r="D234" s="2">
        <v>1</v>
      </c>
      <c r="E234" s="2">
        <v>7.5999999999999998E-2</v>
      </c>
      <c r="F234" s="2">
        <v>47.4</v>
      </c>
      <c r="G234" s="2">
        <v>32.200000000000003</v>
      </c>
      <c r="H234" s="2">
        <v>20.399999999999999</v>
      </c>
      <c r="I234" s="2">
        <v>110.7</v>
      </c>
      <c r="J234" s="2">
        <v>34.1</v>
      </c>
      <c r="K234" s="2">
        <v>40.200000000000003</v>
      </c>
      <c r="L234" s="2">
        <v>51.1</v>
      </c>
      <c r="M234" s="2"/>
      <c r="N234" s="2">
        <v>0.35599999999999998</v>
      </c>
      <c r="O234" s="2">
        <v>71.7</v>
      </c>
      <c r="P234" s="2">
        <v>0.97599999999999998</v>
      </c>
      <c r="Q234" s="2">
        <v>3.7</v>
      </c>
      <c r="R234" s="2">
        <v>57.3</v>
      </c>
      <c r="S234" s="2">
        <v>22.8</v>
      </c>
      <c r="T234" s="25">
        <v>0.72099999999999997</v>
      </c>
      <c r="U234" s="2">
        <v>12.4</v>
      </c>
      <c r="V234" s="2">
        <v>32.5</v>
      </c>
      <c r="W234" s="2">
        <v>43.5</v>
      </c>
      <c r="X234" s="2">
        <v>6.7000000000000004E-2</v>
      </c>
      <c r="Y234" s="2">
        <v>50.5</v>
      </c>
      <c r="Z234" s="2">
        <v>0.122</v>
      </c>
      <c r="AA234" s="2">
        <v>0.19500000000000001</v>
      </c>
      <c r="AB234" s="2">
        <v>0.19800000000000001</v>
      </c>
      <c r="AC234" s="2">
        <v>0.39400000000000002</v>
      </c>
      <c r="AD234" s="67">
        <v>0.58299999999999996</v>
      </c>
      <c r="AE234" s="2">
        <v>22</v>
      </c>
      <c r="AF234" s="2">
        <v>11</v>
      </c>
      <c r="AG234" s="2">
        <v>29</v>
      </c>
    </row>
    <row r="235" spans="1:33" x14ac:dyDescent="0.4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</row>
    <row r="236" spans="1:33" x14ac:dyDescent="0.45">
      <c r="A236" s="2" t="s">
        <v>49</v>
      </c>
      <c r="B236" s="2">
        <v>2</v>
      </c>
      <c r="C236" s="2">
        <v>1.1559999999999999</v>
      </c>
      <c r="D236" s="2">
        <v>1.0329999999999999</v>
      </c>
      <c r="E236" s="2">
        <v>0.123</v>
      </c>
      <c r="F236" s="2">
        <v>45.1</v>
      </c>
      <c r="G236" s="2">
        <v>34.799999999999997</v>
      </c>
      <c r="H236" s="2">
        <v>20.100000000000001</v>
      </c>
      <c r="I236" s="2">
        <v>120</v>
      </c>
      <c r="J236" s="2">
        <v>35</v>
      </c>
      <c r="K236" s="2">
        <v>46.2</v>
      </c>
      <c r="L236" s="2">
        <v>56.4</v>
      </c>
      <c r="M236" s="2"/>
      <c r="N236" s="2">
        <v>0.40100000000000002</v>
      </c>
      <c r="O236" s="2">
        <v>78.8</v>
      </c>
      <c r="P236" s="2">
        <v>0.97399999999999998</v>
      </c>
      <c r="Q236" s="2">
        <v>-2.4</v>
      </c>
      <c r="R236" s="2">
        <v>68.5</v>
      </c>
      <c r="S236" s="2">
        <v>32.700000000000003</v>
      </c>
      <c r="T236" s="25">
        <v>0.73099999999999998</v>
      </c>
      <c r="U236" s="2">
        <v>16.2</v>
      </c>
      <c r="V236" s="2">
        <v>30.4</v>
      </c>
      <c r="W236" s="2">
        <v>34.6</v>
      </c>
      <c r="X236" s="2">
        <v>6.6000000000000003E-2</v>
      </c>
      <c r="Y236" s="2">
        <v>47.9</v>
      </c>
      <c r="Z236" s="2">
        <v>7.6999999999999999E-2</v>
      </c>
      <c r="AA236" s="2">
        <v>0.16300000000000001</v>
      </c>
      <c r="AB236" s="2">
        <v>0.13</v>
      </c>
      <c r="AC236" s="2">
        <v>0.33900000000000002</v>
      </c>
      <c r="AD236" s="67">
        <v>0.66700000000000004</v>
      </c>
      <c r="AE236" s="2">
        <v>25</v>
      </c>
      <c r="AF236" s="2">
        <v>8</v>
      </c>
      <c r="AG236" s="2">
        <v>1</v>
      </c>
    </row>
    <row r="237" spans="1:33" x14ac:dyDescent="0.45">
      <c r="A237" s="1" t="s">
        <v>2</v>
      </c>
      <c r="B237" s="2">
        <v>6</v>
      </c>
      <c r="C237" s="2">
        <v>1.143</v>
      </c>
      <c r="D237" s="2">
        <v>1</v>
      </c>
      <c r="E237" s="2">
        <v>0.14299999999999999</v>
      </c>
      <c r="F237" s="2">
        <v>45.3</v>
      </c>
      <c r="G237" s="2">
        <v>38.700000000000003</v>
      </c>
      <c r="H237" s="2">
        <v>16</v>
      </c>
      <c r="I237" s="2">
        <v>118.5</v>
      </c>
      <c r="J237" s="2">
        <v>37.1</v>
      </c>
      <c r="K237" s="2">
        <v>48.3</v>
      </c>
      <c r="L237" s="2">
        <v>57.2</v>
      </c>
      <c r="M237" s="2"/>
      <c r="N237" s="2">
        <v>0.30199999999999999</v>
      </c>
      <c r="O237" s="2">
        <v>70.900000000000006</v>
      </c>
      <c r="P237" s="2">
        <v>0.96199999999999997</v>
      </c>
      <c r="Q237" s="2">
        <v>1.3</v>
      </c>
      <c r="R237" s="2">
        <v>63.9</v>
      </c>
      <c r="S237" s="2">
        <v>31.6</v>
      </c>
      <c r="T237" s="25">
        <v>0.75700000000000001</v>
      </c>
      <c r="U237" s="2">
        <v>17.100000000000001</v>
      </c>
      <c r="V237" s="2">
        <v>35.700000000000003</v>
      </c>
      <c r="W237" s="2">
        <v>46.2</v>
      </c>
      <c r="X237" s="2">
        <v>5.3999999999999999E-2</v>
      </c>
      <c r="Y237" s="2">
        <v>50.6</v>
      </c>
      <c r="Z237" s="2">
        <v>0.1</v>
      </c>
      <c r="AA237" s="2">
        <v>0.188</v>
      </c>
      <c r="AB237" s="2">
        <v>0.16500000000000001</v>
      </c>
      <c r="AC237" s="2">
        <v>0.29499999999999998</v>
      </c>
      <c r="AD237" s="67">
        <v>0.625</v>
      </c>
      <c r="AE237" s="2">
        <v>24</v>
      </c>
      <c r="AF237" s="2">
        <v>9</v>
      </c>
      <c r="AG237" s="2">
        <v>53</v>
      </c>
    </row>
    <row r="238" spans="1:33" x14ac:dyDescent="0.4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</row>
    <row r="239" spans="1:33" s="15" customFormat="1" ht="14.65" thickBot="1" x14ac:dyDescent="0.5">
      <c r="A239" s="13" t="s">
        <v>61</v>
      </c>
      <c r="B239" s="41">
        <v>2</v>
      </c>
      <c r="C239" s="41">
        <v>1.1060000000000001</v>
      </c>
      <c r="D239" s="41">
        <v>0.93200000000000005</v>
      </c>
      <c r="E239" s="41">
        <v>0.17399999999999999</v>
      </c>
      <c r="F239" s="41">
        <v>46.2</v>
      </c>
      <c r="G239" s="41">
        <v>33.9</v>
      </c>
      <c r="H239" s="41">
        <v>20</v>
      </c>
      <c r="I239" s="41">
        <v>113.2</v>
      </c>
      <c r="J239" s="41">
        <v>34</v>
      </c>
      <c r="K239" s="41">
        <v>43</v>
      </c>
      <c r="L239" s="41">
        <v>52.8</v>
      </c>
      <c r="M239" s="41"/>
      <c r="N239" s="41">
        <v>0.35399999999999998</v>
      </c>
      <c r="O239" s="41">
        <v>67.599999999999994</v>
      </c>
      <c r="P239" s="41">
        <v>0.98699999999999999</v>
      </c>
      <c r="Q239" s="41">
        <v>2.4</v>
      </c>
      <c r="R239" s="41">
        <v>59.3</v>
      </c>
      <c r="S239" s="41">
        <v>33.6</v>
      </c>
      <c r="T239" s="61">
        <v>0.73699999999999999</v>
      </c>
      <c r="U239" s="41">
        <v>15.5</v>
      </c>
      <c r="V239" s="41">
        <v>28.7</v>
      </c>
      <c r="W239" s="41">
        <v>44.6</v>
      </c>
      <c r="X239" s="41">
        <v>8.4000000000000005E-2</v>
      </c>
      <c r="Y239" s="41">
        <v>44.4</v>
      </c>
      <c r="Z239" s="41">
        <v>0.104</v>
      </c>
      <c r="AA239" s="41">
        <v>0.151</v>
      </c>
      <c r="AB239" s="41">
        <v>0.17299999999999999</v>
      </c>
      <c r="AC239" s="41">
        <v>0.29399999999999998</v>
      </c>
      <c r="AD239" s="68">
        <v>0.6</v>
      </c>
      <c r="AE239" s="41">
        <v>27</v>
      </c>
      <c r="AF239" s="41">
        <v>7</v>
      </c>
      <c r="AG239" s="41">
        <v>17</v>
      </c>
    </row>
    <row r="240" spans="1:33" x14ac:dyDescent="0.45">
      <c r="A240" s="2" t="s">
        <v>58</v>
      </c>
      <c r="B240" s="2">
        <v>3</v>
      </c>
      <c r="C240" s="2">
        <v>1.1459999999999999</v>
      </c>
      <c r="D240" s="2">
        <v>1.046</v>
      </c>
      <c r="E240" s="2">
        <v>0.1</v>
      </c>
      <c r="F240" s="2">
        <v>47.4</v>
      </c>
      <c r="G240" s="2">
        <v>33.799999999999997</v>
      </c>
      <c r="H240" s="2">
        <v>18.8</v>
      </c>
      <c r="I240" s="2">
        <v>117.9</v>
      </c>
      <c r="J240" s="2">
        <v>37.4</v>
      </c>
      <c r="K240" s="2">
        <v>41.7</v>
      </c>
      <c r="L240" s="2">
        <v>56</v>
      </c>
      <c r="M240" s="2"/>
      <c r="N240" s="2">
        <v>0.35899999999999999</v>
      </c>
      <c r="O240" s="2">
        <v>74.400000000000006</v>
      </c>
      <c r="P240" s="2">
        <v>0.96799999999999997</v>
      </c>
      <c r="Q240" s="2">
        <v>-0.6</v>
      </c>
      <c r="R240" s="2">
        <v>60.6</v>
      </c>
      <c r="S240" s="2">
        <v>27</v>
      </c>
      <c r="T240" s="25">
        <v>0.748</v>
      </c>
      <c r="U240" s="2">
        <v>14.9</v>
      </c>
      <c r="V240" s="2">
        <v>30.5</v>
      </c>
      <c r="W240" s="2">
        <v>43.7</v>
      </c>
      <c r="X240" s="2">
        <v>6.4000000000000001E-2</v>
      </c>
      <c r="Y240" s="2">
        <v>50.4</v>
      </c>
      <c r="Z240" s="2">
        <v>9.2999999999999999E-2</v>
      </c>
      <c r="AA240" s="2">
        <v>0.17199999999999999</v>
      </c>
      <c r="AB240" s="2">
        <v>0.13900000000000001</v>
      </c>
      <c r="AC240" s="2">
        <v>0.31</v>
      </c>
      <c r="AD240" s="67">
        <v>0.6</v>
      </c>
      <c r="AE240" s="2">
        <v>22</v>
      </c>
      <c r="AF240" s="2">
        <v>11</v>
      </c>
      <c r="AG240" s="2">
        <v>10</v>
      </c>
    </row>
    <row r="241" spans="1:33" x14ac:dyDescent="0.4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</row>
    <row r="242" spans="1:33" x14ac:dyDescent="0.45">
      <c r="A242" s="1" t="s">
        <v>34</v>
      </c>
      <c r="B242" s="2">
        <v>3</v>
      </c>
      <c r="C242" s="2">
        <v>1.1719999999999999</v>
      </c>
      <c r="D242" s="2">
        <v>0.97899999999999998</v>
      </c>
      <c r="E242" s="2">
        <v>0.193</v>
      </c>
      <c r="F242" s="2">
        <v>45.8</v>
      </c>
      <c r="G242" s="2">
        <v>37.200000000000003</v>
      </c>
      <c r="H242" s="2">
        <v>17.100000000000001</v>
      </c>
      <c r="I242" s="2">
        <v>116.1</v>
      </c>
      <c r="J242" s="2">
        <v>37.9</v>
      </c>
      <c r="K242" s="2">
        <v>44.6</v>
      </c>
      <c r="L242" s="2">
        <v>55.5</v>
      </c>
      <c r="M242" s="2"/>
      <c r="N242" s="2">
        <v>0.29699999999999999</v>
      </c>
      <c r="O242" s="2">
        <v>69</v>
      </c>
      <c r="P242" s="2">
        <v>1.006</v>
      </c>
      <c r="Q242" s="2">
        <v>3.4</v>
      </c>
      <c r="R242" s="2">
        <v>59.4</v>
      </c>
      <c r="S242" s="2">
        <v>32.200000000000003</v>
      </c>
      <c r="T242" s="25">
        <v>0.73099999999999998</v>
      </c>
      <c r="U242" s="2">
        <v>14.4</v>
      </c>
      <c r="V242" s="2">
        <v>32.4</v>
      </c>
      <c r="W242" s="2">
        <v>34.6</v>
      </c>
      <c r="X242" s="2">
        <v>5.5E-2</v>
      </c>
      <c r="Y242" s="2">
        <v>48</v>
      </c>
      <c r="Z242" s="2">
        <v>9.1999999999999998E-2</v>
      </c>
      <c r="AA242" s="2">
        <v>0.16200000000000001</v>
      </c>
      <c r="AB242" s="2">
        <v>0.16700000000000001</v>
      </c>
      <c r="AC242" s="2">
        <v>0.33500000000000002</v>
      </c>
      <c r="AD242" s="67">
        <v>0.58299999999999996</v>
      </c>
      <c r="AE242" s="2">
        <v>25</v>
      </c>
      <c r="AF242" s="2">
        <v>8</v>
      </c>
      <c r="AG242" s="2">
        <v>47</v>
      </c>
    </row>
    <row r="243" spans="1:33" s="15" customFormat="1" ht="14.65" thickBot="1" x14ac:dyDescent="0.5">
      <c r="A243" s="13" t="s">
        <v>36</v>
      </c>
      <c r="B243" s="41">
        <v>10</v>
      </c>
      <c r="C243" s="41">
        <v>1.06</v>
      </c>
      <c r="D243" s="41">
        <v>0.98399999999999999</v>
      </c>
      <c r="E243" s="41">
        <v>7.5999999999999998E-2</v>
      </c>
      <c r="F243" s="41">
        <v>52.4</v>
      </c>
      <c r="G243" s="41">
        <v>27.5</v>
      </c>
      <c r="H243" s="41">
        <v>20.100000000000001</v>
      </c>
      <c r="I243" s="41">
        <v>111.8</v>
      </c>
      <c r="J243" s="41">
        <v>33.299999999999997</v>
      </c>
      <c r="K243" s="41">
        <v>36.700000000000003</v>
      </c>
      <c r="L243" s="41">
        <v>52.7</v>
      </c>
      <c r="M243" s="41"/>
      <c r="N243" s="41">
        <v>0.35499999999999998</v>
      </c>
      <c r="O243" s="41">
        <v>72.3</v>
      </c>
      <c r="P243" s="41">
        <v>0.95</v>
      </c>
      <c r="Q243" s="41">
        <v>-1</v>
      </c>
      <c r="R243" s="41">
        <v>58.3</v>
      </c>
      <c r="S243" s="41">
        <v>25</v>
      </c>
      <c r="T243" s="61">
        <v>0.72</v>
      </c>
      <c r="U243" s="41">
        <v>16.100000000000001</v>
      </c>
      <c r="V243" s="41">
        <v>31.4</v>
      </c>
      <c r="W243" s="41">
        <v>38.9</v>
      </c>
      <c r="X243" s="41">
        <v>9.0999999999999998E-2</v>
      </c>
      <c r="Y243" s="41">
        <v>48.3</v>
      </c>
      <c r="Z243" s="41">
        <v>0.104</v>
      </c>
      <c r="AA243" s="41">
        <v>0.16900000000000001</v>
      </c>
      <c r="AB243" s="41">
        <v>0.16800000000000001</v>
      </c>
      <c r="AC243" s="41">
        <v>0.29399999999999998</v>
      </c>
      <c r="AD243" s="68">
        <v>0.54600000000000004</v>
      </c>
      <c r="AE243" s="41">
        <v>20</v>
      </c>
      <c r="AF243" s="41">
        <v>13</v>
      </c>
      <c r="AG243" s="41">
        <v>43</v>
      </c>
    </row>
    <row r="244" spans="1:33" x14ac:dyDescent="0.4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</row>
    <row r="245" spans="1:33" ht="14.65" thickBot="1" x14ac:dyDescent="0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</row>
    <row r="246" spans="1:33" x14ac:dyDescent="0.45">
      <c r="A246" s="70" t="s">
        <v>77</v>
      </c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2"/>
    </row>
    <row r="247" spans="1:33" ht="14.65" thickBot="1" x14ac:dyDescent="0.5">
      <c r="A247" s="73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5"/>
    </row>
    <row r="248" spans="1:33" x14ac:dyDescent="0.45">
      <c r="A248" s="1" t="s">
        <v>14</v>
      </c>
      <c r="B248" s="2">
        <v>1</v>
      </c>
      <c r="C248" s="2">
        <v>1.1819999999999999</v>
      </c>
      <c r="D248" s="2">
        <v>0.98099999999999998</v>
      </c>
      <c r="E248" s="2">
        <v>0.20100000000000001</v>
      </c>
      <c r="F248" s="2">
        <v>48.8</v>
      </c>
      <c r="G248" s="2">
        <v>32.799999999999997</v>
      </c>
      <c r="H248" s="2">
        <v>18.3</v>
      </c>
      <c r="I248" s="2">
        <v>117.1</v>
      </c>
      <c r="J248" s="2">
        <v>36.799999999999997</v>
      </c>
      <c r="K248" s="2">
        <v>40.6</v>
      </c>
      <c r="L248" s="2">
        <v>55.7</v>
      </c>
      <c r="M248" s="2"/>
      <c r="N248" s="2">
        <v>0.33500000000000002</v>
      </c>
      <c r="O248" s="2">
        <v>70.900000000000006</v>
      </c>
      <c r="P248" s="2">
        <v>1.014</v>
      </c>
      <c r="Q248" s="2">
        <v>4.3</v>
      </c>
      <c r="R248" s="2">
        <v>60.5</v>
      </c>
      <c r="S248" s="2">
        <v>33.299999999999997</v>
      </c>
      <c r="T248" s="25">
        <v>0.73199999999999998</v>
      </c>
      <c r="U248" s="2">
        <v>13</v>
      </c>
      <c r="V248" s="2">
        <v>29.8</v>
      </c>
      <c r="W248" s="2">
        <v>35.299999999999997</v>
      </c>
      <c r="X248" s="2">
        <v>0.10199999999999999</v>
      </c>
      <c r="Y248" s="2">
        <v>46</v>
      </c>
      <c r="Z248" s="2">
        <v>9.5000000000000001E-2</v>
      </c>
      <c r="AA248" s="2">
        <v>0.13500000000000001</v>
      </c>
      <c r="AB248" s="2">
        <v>0.16800000000000001</v>
      </c>
      <c r="AC248" s="2">
        <v>0.39200000000000002</v>
      </c>
      <c r="AD248" s="67">
        <v>0.77800000000000002</v>
      </c>
      <c r="AE248" s="2">
        <v>28</v>
      </c>
      <c r="AF248" s="2">
        <v>5</v>
      </c>
      <c r="AG248" s="2">
        <v>3</v>
      </c>
    </row>
    <row r="249" spans="1:33" x14ac:dyDescent="0.45">
      <c r="A249" s="1" t="s">
        <v>24</v>
      </c>
      <c r="B249" s="2">
        <v>2</v>
      </c>
      <c r="C249" s="2">
        <v>1.1020000000000001</v>
      </c>
      <c r="D249" s="2">
        <v>0.94799999999999995</v>
      </c>
      <c r="E249" s="2">
        <v>0.154</v>
      </c>
      <c r="F249" s="2">
        <v>54.5</v>
      </c>
      <c r="G249" s="2">
        <v>23.1</v>
      </c>
      <c r="H249" s="2">
        <v>22.4</v>
      </c>
      <c r="I249" s="2">
        <v>111.5</v>
      </c>
      <c r="J249" s="2">
        <v>30.8</v>
      </c>
      <c r="K249" s="2">
        <v>32.700000000000003</v>
      </c>
      <c r="L249" s="2">
        <v>51.2</v>
      </c>
      <c r="M249" s="2"/>
      <c r="N249" s="2">
        <v>0.378</v>
      </c>
      <c r="O249" s="2">
        <v>70.900000000000006</v>
      </c>
      <c r="P249" s="2">
        <v>0.98699999999999999</v>
      </c>
      <c r="Q249" s="2">
        <v>2.7</v>
      </c>
      <c r="R249" s="2">
        <v>57.8</v>
      </c>
      <c r="S249" s="2">
        <v>33.700000000000003</v>
      </c>
      <c r="T249" s="25">
        <v>0.77100000000000002</v>
      </c>
      <c r="U249" s="2">
        <v>16.3</v>
      </c>
      <c r="V249" s="2">
        <v>28</v>
      </c>
      <c r="W249" s="2">
        <v>40.700000000000003</v>
      </c>
      <c r="X249" s="2">
        <v>7.8E-2</v>
      </c>
      <c r="Y249" s="2">
        <v>46.1</v>
      </c>
      <c r="Z249" s="2">
        <v>7.6999999999999999E-2</v>
      </c>
      <c r="AA249" s="2">
        <v>0.17399999999999999</v>
      </c>
      <c r="AB249" s="2">
        <v>0.159</v>
      </c>
      <c r="AC249" s="2">
        <v>0.33100000000000002</v>
      </c>
      <c r="AD249" s="67">
        <v>0.57099999999999995</v>
      </c>
      <c r="AE249" s="2">
        <v>27</v>
      </c>
      <c r="AF249" s="2">
        <v>6</v>
      </c>
      <c r="AG249" s="2">
        <v>19</v>
      </c>
    </row>
    <row r="250" spans="1:33" x14ac:dyDescent="0.4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</row>
    <row r="251" spans="1:33" x14ac:dyDescent="0.45">
      <c r="A251" s="1" t="s">
        <v>26</v>
      </c>
      <c r="B251" s="2">
        <v>1</v>
      </c>
      <c r="C251" s="2">
        <v>1.1779999999999999</v>
      </c>
      <c r="D251" s="2">
        <v>0.95499999999999996</v>
      </c>
      <c r="E251" s="2">
        <v>0.27100000000000002</v>
      </c>
      <c r="F251" s="2">
        <v>47</v>
      </c>
      <c r="G251" s="2">
        <v>34.799999999999997</v>
      </c>
      <c r="H251" s="2">
        <v>18.100000000000001</v>
      </c>
      <c r="I251" s="2">
        <v>116</v>
      </c>
      <c r="J251" s="2">
        <v>35.5</v>
      </c>
      <c r="K251" s="2">
        <v>43.6</v>
      </c>
      <c r="L251" s="2">
        <v>55</v>
      </c>
      <c r="M251" s="2"/>
      <c r="N251" s="2">
        <v>0.32600000000000001</v>
      </c>
      <c r="O251" s="2">
        <v>72.5</v>
      </c>
      <c r="P251" s="2">
        <v>1.022</v>
      </c>
      <c r="Q251" s="2">
        <v>3.7</v>
      </c>
      <c r="R251" s="2">
        <v>61.6</v>
      </c>
      <c r="S251" s="2">
        <v>36.9</v>
      </c>
      <c r="T251" s="25">
        <v>0.73099999999999998</v>
      </c>
      <c r="U251" s="2">
        <v>14.7</v>
      </c>
      <c r="V251" s="2">
        <v>29.4</v>
      </c>
      <c r="W251" s="2">
        <v>37.200000000000003</v>
      </c>
      <c r="X251" s="2">
        <v>7.2999999999999995E-2</v>
      </c>
      <c r="Y251" s="2">
        <v>45.3</v>
      </c>
      <c r="Z251" s="2">
        <v>0.104</v>
      </c>
      <c r="AA251" s="2">
        <v>0.155</v>
      </c>
      <c r="AB251" s="2">
        <v>0.16400000000000001</v>
      </c>
      <c r="AC251" s="2">
        <v>0.33</v>
      </c>
      <c r="AD251" s="67">
        <v>0.5</v>
      </c>
      <c r="AE251" s="2">
        <v>30</v>
      </c>
      <c r="AF251" s="2">
        <v>4</v>
      </c>
      <c r="AG251" s="2">
        <v>32</v>
      </c>
    </row>
    <row r="252" spans="1:33" x14ac:dyDescent="0.45">
      <c r="A252" s="1" t="s">
        <v>34</v>
      </c>
      <c r="B252" s="2">
        <v>3</v>
      </c>
      <c r="C252" s="2">
        <v>1.1719999999999999</v>
      </c>
      <c r="D252" s="2">
        <v>0.97899999999999998</v>
      </c>
      <c r="E252" s="2">
        <v>0.193</v>
      </c>
      <c r="F252" s="2">
        <v>45.8</v>
      </c>
      <c r="G252" s="2">
        <v>37.200000000000003</v>
      </c>
      <c r="H252" s="2">
        <v>17.100000000000001</v>
      </c>
      <c r="I252" s="2">
        <v>116.1</v>
      </c>
      <c r="J252" s="2">
        <v>37.9</v>
      </c>
      <c r="K252" s="2">
        <v>44.6</v>
      </c>
      <c r="L252" s="2">
        <v>55.5</v>
      </c>
      <c r="M252" s="2"/>
      <c r="N252" s="2">
        <v>0.29699999999999999</v>
      </c>
      <c r="O252" s="2">
        <v>69</v>
      </c>
      <c r="P252" s="2">
        <v>1.006</v>
      </c>
      <c r="Q252" s="2">
        <v>3.4</v>
      </c>
      <c r="R252" s="2">
        <v>59.4</v>
      </c>
      <c r="S252" s="2">
        <v>32.200000000000003</v>
      </c>
      <c r="T252" s="25">
        <v>0.73099999999999998</v>
      </c>
      <c r="U252" s="2">
        <v>14.4</v>
      </c>
      <c r="V252" s="2">
        <v>32.4</v>
      </c>
      <c r="W252" s="2">
        <v>34.6</v>
      </c>
      <c r="X252" s="2">
        <v>5.5E-2</v>
      </c>
      <c r="Y252" s="2">
        <v>48</v>
      </c>
      <c r="Z252" s="2">
        <v>9.1999999999999998E-2</v>
      </c>
      <c r="AA252" s="2">
        <v>0.16200000000000001</v>
      </c>
      <c r="AB252" s="2">
        <v>0.16700000000000001</v>
      </c>
      <c r="AC252" s="2">
        <v>0.33500000000000002</v>
      </c>
      <c r="AD252" s="67">
        <v>0.58299999999999996</v>
      </c>
      <c r="AE252" s="2">
        <v>25</v>
      </c>
      <c r="AF252" s="2">
        <v>8</v>
      </c>
      <c r="AG252" s="2">
        <v>47</v>
      </c>
    </row>
    <row r="253" spans="1:33" x14ac:dyDescent="0.4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</row>
    <row r="254" spans="1:33" s="15" customFormat="1" ht="14.65" thickBot="1" x14ac:dyDescent="0.5">
      <c r="A254" s="1" t="s">
        <v>39</v>
      </c>
      <c r="B254" s="1">
        <v>1</v>
      </c>
      <c r="C254" s="1">
        <v>1.2110000000000001</v>
      </c>
      <c r="D254" s="1">
        <v>0.90700000000000003</v>
      </c>
      <c r="E254" s="1">
        <v>0.30399999999999999</v>
      </c>
      <c r="F254" s="1">
        <v>45.1</v>
      </c>
      <c r="G254" s="1">
        <v>36.9</v>
      </c>
      <c r="H254" s="1">
        <v>18</v>
      </c>
      <c r="I254" s="1">
        <v>123</v>
      </c>
      <c r="J254" s="1">
        <v>37.700000000000003</v>
      </c>
      <c r="K254" s="1">
        <v>45.4</v>
      </c>
      <c r="L254" s="1">
        <v>57.4</v>
      </c>
      <c r="M254" s="1"/>
      <c r="N254" s="1">
        <v>0.32100000000000001</v>
      </c>
      <c r="O254" s="1">
        <v>68.3</v>
      </c>
      <c r="P254" s="1">
        <v>1.004</v>
      </c>
      <c r="Q254" s="1">
        <v>3.8</v>
      </c>
      <c r="R254" s="1">
        <v>64.400000000000006</v>
      </c>
      <c r="S254" s="1">
        <v>34.1</v>
      </c>
      <c r="T254" s="28">
        <v>0.76300000000000001</v>
      </c>
      <c r="U254" s="1">
        <v>14</v>
      </c>
      <c r="V254" s="1">
        <v>31.1</v>
      </c>
      <c r="W254" s="1">
        <v>38.299999999999997</v>
      </c>
      <c r="X254" s="1">
        <v>6.7000000000000004E-2</v>
      </c>
      <c r="Y254" s="1">
        <v>44.5</v>
      </c>
      <c r="Z254" s="1">
        <v>9.9000000000000005E-2</v>
      </c>
      <c r="AA254" s="1">
        <v>0.16600000000000001</v>
      </c>
      <c r="AB254" s="1">
        <v>0.16700000000000001</v>
      </c>
      <c r="AC254" s="1">
        <v>0.254</v>
      </c>
      <c r="AD254" s="69">
        <v>0.33300000000000002</v>
      </c>
      <c r="AE254" s="1">
        <v>31</v>
      </c>
      <c r="AF254" s="1">
        <v>3</v>
      </c>
      <c r="AG254" s="1">
        <v>37</v>
      </c>
    </row>
    <row r="255" spans="1:33" x14ac:dyDescent="0.45">
      <c r="A255" s="2" t="s">
        <v>49</v>
      </c>
      <c r="B255" s="2">
        <v>2</v>
      </c>
      <c r="C255" s="2">
        <v>1.1559999999999999</v>
      </c>
      <c r="D255" s="2">
        <v>1.0329999999999999</v>
      </c>
      <c r="E255" s="2">
        <v>0.123</v>
      </c>
      <c r="F255" s="2">
        <v>45.1</v>
      </c>
      <c r="G255" s="2">
        <v>34.799999999999997</v>
      </c>
      <c r="H255" s="2">
        <v>20.100000000000001</v>
      </c>
      <c r="I255" s="2">
        <v>120</v>
      </c>
      <c r="J255" s="2">
        <v>35</v>
      </c>
      <c r="K255" s="2">
        <v>46.2</v>
      </c>
      <c r="L255" s="2">
        <v>56.4</v>
      </c>
      <c r="M255" s="2"/>
      <c r="N255" s="2">
        <v>0.40100000000000002</v>
      </c>
      <c r="O255" s="2">
        <v>78.8</v>
      </c>
      <c r="P255" s="2">
        <v>0.97399999999999998</v>
      </c>
      <c r="Q255" s="2">
        <v>-2.4</v>
      </c>
      <c r="R255" s="2">
        <v>68.5</v>
      </c>
      <c r="S255" s="2">
        <v>32.700000000000003</v>
      </c>
      <c r="T255" s="25">
        <v>0.73099999999999998</v>
      </c>
      <c r="U255" s="2">
        <v>16.2</v>
      </c>
      <c r="V255" s="2">
        <v>30.4</v>
      </c>
      <c r="W255" s="2">
        <v>34.6</v>
      </c>
      <c r="X255" s="2">
        <v>6.6000000000000003E-2</v>
      </c>
      <c r="Y255" s="2">
        <v>47.9</v>
      </c>
      <c r="Z255" s="2">
        <v>7.6999999999999999E-2</v>
      </c>
      <c r="AA255" s="2">
        <v>0.16300000000000001</v>
      </c>
      <c r="AB255" s="2">
        <v>0.13</v>
      </c>
      <c r="AC255" s="2">
        <v>0.33900000000000002</v>
      </c>
      <c r="AD255" s="67">
        <v>0.66700000000000004</v>
      </c>
      <c r="AE255" s="2">
        <v>25</v>
      </c>
      <c r="AF255" s="2">
        <v>8</v>
      </c>
      <c r="AG255" s="2">
        <v>1</v>
      </c>
    </row>
    <row r="256" spans="1:33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</row>
    <row r="257" spans="1:33" x14ac:dyDescent="0.45">
      <c r="A257" s="1" t="s">
        <v>51</v>
      </c>
      <c r="B257" s="2">
        <v>1</v>
      </c>
      <c r="C257" s="2">
        <v>1.131</v>
      </c>
      <c r="D257" s="2">
        <v>0.89100000000000001</v>
      </c>
      <c r="E257" s="2">
        <v>0.24</v>
      </c>
      <c r="F257" s="2">
        <v>50.7</v>
      </c>
      <c r="G257" s="2">
        <v>32.700000000000003</v>
      </c>
      <c r="H257" s="2">
        <v>16.600000000000001</v>
      </c>
      <c r="I257" s="2">
        <v>111.2</v>
      </c>
      <c r="J257" s="2">
        <v>39.799999999999997</v>
      </c>
      <c r="K257" s="2">
        <v>34.5</v>
      </c>
      <c r="L257" s="2">
        <v>52.7</v>
      </c>
      <c r="M257" s="2"/>
      <c r="N257" s="2">
        <v>0.28199999999999997</v>
      </c>
      <c r="O257" s="2">
        <v>65.599999999999994</v>
      </c>
      <c r="P257" s="2">
        <v>1.026</v>
      </c>
      <c r="Q257" s="2">
        <v>8.1999999999999993</v>
      </c>
      <c r="R257" s="2">
        <v>52.3</v>
      </c>
      <c r="S257" s="2">
        <v>35.700000000000003</v>
      </c>
      <c r="T257" s="25">
        <v>0.753</v>
      </c>
      <c r="U257" s="2">
        <v>14.2</v>
      </c>
      <c r="V257" s="2">
        <v>30.2</v>
      </c>
      <c r="W257" s="2">
        <v>43.4</v>
      </c>
      <c r="X257" s="2">
        <v>0.09</v>
      </c>
      <c r="Y257" s="2">
        <v>44.9</v>
      </c>
      <c r="Z257" s="2">
        <v>0.122</v>
      </c>
      <c r="AA257" s="2">
        <v>0.16800000000000001</v>
      </c>
      <c r="AB257" s="2">
        <v>0.20899999999999999</v>
      </c>
      <c r="AC257" s="2">
        <v>0.34100000000000003</v>
      </c>
      <c r="AD257" s="67">
        <v>0.42899999999999999</v>
      </c>
      <c r="AE257" s="2">
        <v>30</v>
      </c>
      <c r="AF257" s="2">
        <v>4</v>
      </c>
      <c r="AG257" s="2">
        <v>9</v>
      </c>
    </row>
    <row r="258" spans="1:33" s="15" customFormat="1" ht="14.65" thickBot="1" x14ac:dyDescent="0.5">
      <c r="A258" s="13" t="s">
        <v>61</v>
      </c>
      <c r="B258" s="41">
        <v>2</v>
      </c>
      <c r="C258" s="41">
        <v>1.1060000000000001</v>
      </c>
      <c r="D258" s="41">
        <v>0.93200000000000005</v>
      </c>
      <c r="E258" s="41">
        <v>0.17399999999999999</v>
      </c>
      <c r="F258" s="41">
        <v>46.2</v>
      </c>
      <c r="G258" s="41">
        <v>33.9</v>
      </c>
      <c r="H258" s="41">
        <v>20</v>
      </c>
      <c r="I258" s="41">
        <v>113.2</v>
      </c>
      <c r="J258" s="41">
        <v>34</v>
      </c>
      <c r="K258" s="41">
        <v>43</v>
      </c>
      <c r="L258" s="41">
        <v>52.8</v>
      </c>
      <c r="M258" s="41"/>
      <c r="N258" s="41">
        <v>0.35399999999999998</v>
      </c>
      <c r="O258" s="41">
        <v>67.599999999999994</v>
      </c>
      <c r="P258" s="41">
        <v>0.98699999999999999</v>
      </c>
      <c r="Q258" s="41">
        <v>2.4</v>
      </c>
      <c r="R258" s="41">
        <v>59.3</v>
      </c>
      <c r="S258" s="41">
        <v>33.6</v>
      </c>
      <c r="T258" s="61">
        <v>0.73699999999999999</v>
      </c>
      <c r="U258" s="41">
        <v>15.5</v>
      </c>
      <c r="V258" s="41">
        <v>28.7</v>
      </c>
      <c r="W258" s="41">
        <v>44.6</v>
      </c>
      <c r="X258" s="41">
        <v>8.4000000000000005E-2</v>
      </c>
      <c r="Y258" s="41">
        <v>44.4</v>
      </c>
      <c r="Z258" s="41">
        <v>0.104</v>
      </c>
      <c r="AA258" s="41">
        <v>0.151</v>
      </c>
      <c r="AB258" s="41">
        <v>0.17299999999999999</v>
      </c>
      <c r="AC258" s="41">
        <v>0.29399999999999998</v>
      </c>
      <c r="AD258" s="68">
        <v>0.6</v>
      </c>
      <c r="AE258" s="41">
        <v>27</v>
      </c>
      <c r="AF258" s="41">
        <v>7</v>
      </c>
      <c r="AG258" s="41">
        <v>17</v>
      </c>
    </row>
    <row r="259" spans="1:33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</row>
    <row r="260" spans="1:33" ht="14.65" thickBot="1" x14ac:dyDescent="0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</row>
    <row r="261" spans="1:33" x14ac:dyDescent="0.45">
      <c r="A261" s="70" t="s">
        <v>92</v>
      </c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2"/>
    </row>
    <row r="262" spans="1:33" ht="14.65" thickBot="1" x14ac:dyDescent="0.5">
      <c r="A262" s="73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5"/>
    </row>
    <row r="263" spans="1:33" x14ac:dyDescent="0.45">
      <c r="A263" s="1" t="s">
        <v>51</v>
      </c>
      <c r="B263" s="2">
        <v>1</v>
      </c>
      <c r="C263" s="2">
        <v>1.131</v>
      </c>
      <c r="D263" s="2">
        <v>0.89100000000000001</v>
      </c>
      <c r="E263" s="2">
        <v>0.24</v>
      </c>
      <c r="F263" s="2">
        <v>50.7</v>
      </c>
      <c r="G263" s="2">
        <v>32.700000000000003</v>
      </c>
      <c r="H263" s="2">
        <v>16.600000000000001</v>
      </c>
      <c r="I263" s="2">
        <v>111.2</v>
      </c>
      <c r="J263" s="2">
        <v>39.799999999999997</v>
      </c>
      <c r="K263" s="2">
        <v>34.5</v>
      </c>
      <c r="L263" s="2">
        <v>52.7</v>
      </c>
      <c r="M263" s="2"/>
      <c r="N263" s="2">
        <v>0.28199999999999997</v>
      </c>
      <c r="O263" s="2">
        <v>65.599999999999994</v>
      </c>
      <c r="P263" s="2">
        <v>1.026</v>
      </c>
      <c r="Q263" s="2">
        <v>8.1999999999999993</v>
      </c>
      <c r="R263" s="2">
        <v>52.3</v>
      </c>
      <c r="S263" s="2">
        <v>35.700000000000003</v>
      </c>
      <c r="T263" s="25">
        <v>0.753</v>
      </c>
      <c r="U263" s="2">
        <v>14.2</v>
      </c>
      <c r="V263" s="2">
        <v>30.2</v>
      </c>
      <c r="W263" s="2">
        <v>43.4</v>
      </c>
      <c r="X263" s="2">
        <v>0.09</v>
      </c>
      <c r="Y263" s="2">
        <v>44.9</v>
      </c>
      <c r="Z263" s="2">
        <v>0.122</v>
      </c>
      <c r="AA263" s="2">
        <v>0.16800000000000001</v>
      </c>
      <c r="AB263" s="2">
        <v>0.20899999999999999</v>
      </c>
      <c r="AC263" s="2">
        <v>0.34100000000000003</v>
      </c>
      <c r="AD263" s="67">
        <v>0.42899999999999999</v>
      </c>
      <c r="AE263" s="2">
        <v>30</v>
      </c>
      <c r="AF263" s="2">
        <v>4</v>
      </c>
      <c r="AG263" s="2">
        <v>9</v>
      </c>
    </row>
    <row r="264" spans="1:33" s="15" customFormat="1" ht="14.65" thickBot="1" x14ac:dyDescent="0.5">
      <c r="A264" s="1" t="s">
        <v>39</v>
      </c>
      <c r="B264" s="1">
        <v>1</v>
      </c>
      <c r="C264" s="1">
        <v>1.2110000000000001</v>
      </c>
      <c r="D264" s="1">
        <v>0.90700000000000003</v>
      </c>
      <c r="E264" s="1">
        <v>0.30399999999999999</v>
      </c>
      <c r="F264" s="1">
        <v>45.1</v>
      </c>
      <c r="G264" s="1">
        <v>36.9</v>
      </c>
      <c r="H264" s="1">
        <v>18</v>
      </c>
      <c r="I264" s="1">
        <v>123</v>
      </c>
      <c r="J264" s="1">
        <v>37.700000000000003</v>
      </c>
      <c r="K264" s="1">
        <v>45.4</v>
      </c>
      <c r="L264" s="1">
        <v>57.4</v>
      </c>
      <c r="M264" s="1"/>
      <c r="N264" s="1">
        <v>0.32100000000000001</v>
      </c>
      <c r="O264" s="1">
        <v>68.3</v>
      </c>
      <c r="P264" s="1">
        <v>1.004</v>
      </c>
      <c r="Q264" s="1">
        <v>3.8</v>
      </c>
      <c r="R264" s="1">
        <v>64.400000000000006</v>
      </c>
      <c r="S264" s="1">
        <v>34.1</v>
      </c>
      <c r="T264" s="28">
        <v>0.76300000000000001</v>
      </c>
      <c r="U264" s="1">
        <v>14</v>
      </c>
      <c r="V264" s="1">
        <v>31.1</v>
      </c>
      <c r="W264" s="1">
        <v>38.299999999999997</v>
      </c>
      <c r="X264" s="1">
        <v>6.7000000000000004E-2</v>
      </c>
      <c r="Y264" s="1">
        <v>44.5</v>
      </c>
      <c r="Z264" s="1">
        <v>9.9000000000000005E-2</v>
      </c>
      <c r="AA264" s="1">
        <v>0.16600000000000001</v>
      </c>
      <c r="AB264" s="1">
        <v>0.16700000000000001</v>
      </c>
      <c r="AC264" s="1">
        <v>0.254</v>
      </c>
      <c r="AD264" s="69">
        <v>0.33300000000000002</v>
      </c>
      <c r="AE264" s="1">
        <v>31</v>
      </c>
      <c r="AF264" s="1">
        <v>3</v>
      </c>
      <c r="AG264" s="1">
        <v>37</v>
      </c>
    </row>
    <row r="265" spans="1:33" x14ac:dyDescent="0.4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</row>
    <row r="266" spans="1:33" x14ac:dyDescent="0.45">
      <c r="A266" s="1" t="s">
        <v>14</v>
      </c>
      <c r="B266" s="2">
        <v>1</v>
      </c>
      <c r="C266" s="2">
        <v>1.1819999999999999</v>
      </c>
      <c r="D266" s="2">
        <v>0.98099999999999998</v>
      </c>
      <c r="E266" s="2">
        <v>0.20100000000000001</v>
      </c>
      <c r="F266" s="2">
        <v>48.8</v>
      </c>
      <c r="G266" s="2">
        <v>32.799999999999997</v>
      </c>
      <c r="H266" s="2">
        <v>18.3</v>
      </c>
      <c r="I266" s="2">
        <v>117.1</v>
      </c>
      <c r="J266" s="2">
        <v>36.799999999999997</v>
      </c>
      <c r="K266" s="2">
        <v>40.6</v>
      </c>
      <c r="L266" s="2">
        <v>55.7</v>
      </c>
      <c r="M266" s="2"/>
      <c r="N266" s="2">
        <v>0.33500000000000002</v>
      </c>
      <c r="O266" s="2">
        <v>70.900000000000006</v>
      </c>
      <c r="P266" s="2">
        <v>1.014</v>
      </c>
      <c r="Q266" s="2">
        <v>4.3</v>
      </c>
      <c r="R266" s="2">
        <v>60.5</v>
      </c>
      <c r="S266" s="2">
        <v>33.299999999999997</v>
      </c>
      <c r="T266" s="25">
        <v>0.73199999999999998</v>
      </c>
      <c r="U266" s="2">
        <v>13</v>
      </c>
      <c r="V266" s="2">
        <v>29.8</v>
      </c>
      <c r="W266" s="2">
        <v>35.299999999999997</v>
      </c>
      <c r="X266" s="2">
        <v>0.10199999999999999</v>
      </c>
      <c r="Y266" s="2">
        <v>46</v>
      </c>
      <c r="Z266" s="2">
        <v>9.5000000000000001E-2</v>
      </c>
      <c r="AA266" s="2">
        <v>0.13500000000000001</v>
      </c>
      <c r="AB266" s="2">
        <v>0.16800000000000001</v>
      </c>
      <c r="AC266" s="2">
        <v>0.39200000000000002</v>
      </c>
      <c r="AD266" s="67">
        <v>0.77800000000000002</v>
      </c>
      <c r="AE266" s="2">
        <v>28</v>
      </c>
      <c r="AF266" s="2">
        <v>5</v>
      </c>
      <c r="AG266" s="2">
        <v>3</v>
      </c>
    </row>
    <row r="267" spans="1:33" x14ac:dyDescent="0.45">
      <c r="A267" s="1" t="s">
        <v>26</v>
      </c>
      <c r="B267" s="2">
        <v>1</v>
      </c>
      <c r="C267" s="2">
        <v>1.1779999999999999</v>
      </c>
      <c r="D267" s="2">
        <v>0.95499999999999996</v>
      </c>
      <c r="E267" s="2">
        <v>0.27100000000000002</v>
      </c>
      <c r="F267" s="2">
        <v>47</v>
      </c>
      <c r="G267" s="2">
        <v>34.799999999999997</v>
      </c>
      <c r="H267" s="2">
        <v>18.100000000000001</v>
      </c>
      <c r="I267" s="2">
        <v>116</v>
      </c>
      <c r="J267" s="2">
        <v>35.5</v>
      </c>
      <c r="K267" s="2">
        <v>43.6</v>
      </c>
      <c r="L267" s="2">
        <v>55</v>
      </c>
      <c r="M267" s="2"/>
      <c r="N267" s="2">
        <v>0.32600000000000001</v>
      </c>
      <c r="O267" s="2">
        <v>72.5</v>
      </c>
      <c r="P267" s="2">
        <v>1.022</v>
      </c>
      <c r="Q267" s="2">
        <v>3.7</v>
      </c>
      <c r="R267" s="2">
        <v>61.6</v>
      </c>
      <c r="S267" s="2">
        <v>36.9</v>
      </c>
      <c r="T267" s="25">
        <v>0.73099999999999998</v>
      </c>
      <c r="U267" s="2">
        <v>14.7</v>
      </c>
      <c r="V267" s="2">
        <v>29.4</v>
      </c>
      <c r="W267" s="2">
        <v>37.200000000000003</v>
      </c>
      <c r="X267" s="2">
        <v>7.2999999999999995E-2</v>
      </c>
      <c r="Y267" s="2">
        <v>45.3</v>
      </c>
      <c r="Z267" s="2">
        <v>0.104</v>
      </c>
      <c r="AA267" s="2">
        <v>0.155</v>
      </c>
      <c r="AB267" s="2">
        <v>0.16400000000000001</v>
      </c>
      <c r="AC267" s="2">
        <v>0.33</v>
      </c>
      <c r="AD267" s="67">
        <v>0.5</v>
      </c>
      <c r="AE267" s="2">
        <v>30</v>
      </c>
      <c r="AF267" s="2">
        <v>4</v>
      </c>
      <c r="AG267" s="2">
        <v>32</v>
      </c>
    </row>
    <row r="268" spans="1:33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</row>
    <row r="269" spans="1:33" ht="14.65" thickBot="1" x14ac:dyDescent="0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</row>
    <row r="270" spans="1:33" x14ac:dyDescent="0.45">
      <c r="A270" s="70" t="s">
        <v>78</v>
      </c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2"/>
    </row>
    <row r="271" spans="1:33" ht="14.65" thickBot="1" x14ac:dyDescent="0.5">
      <c r="A271" s="73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5"/>
    </row>
    <row r="272" spans="1:33" x14ac:dyDescent="0.45">
      <c r="A272" s="1" t="s">
        <v>51</v>
      </c>
      <c r="B272" s="2">
        <v>1</v>
      </c>
      <c r="C272" s="2">
        <v>1.131</v>
      </c>
      <c r="D272" s="2">
        <v>0.89100000000000001</v>
      </c>
      <c r="E272" s="2">
        <v>0.24</v>
      </c>
      <c r="F272" s="2">
        <v>50.7</v>
      </c>
      <c r="G272" s="2">
        <v>32.700000000000003</v>
      </c>
      <c r="H272" s="2">
        <v>16.600000000000001</v>
      </c>
      <c r="I272" s="2">
        <v>111.2</v>
      </c>
      <c r="J272" s="2">
        <v>39.799999999999997</v>
      </c>
      <c r="K272" s="2">
        <v>34.5</v>
      </c>
      <c r="L272" s="2">
        <v>52.7</v>
      </c>
      <c r="M272" s="2"/>
      <c r="N272" s="2">
        <v>0.28199999999999997</v>
      </c>
      <c r="O272" s="2">
        <v>65.599999999999994</v>
      </c>
      <c r="P272" s="2">
        <v>1.026</v>
      </c>
      <c r="Q272" s="2">
        <v>8.1999999999999993</v>
      </c>
      <c r="R272" s="2">
        <v>52.3</v>
      </c>
      <c r="S272" s="2">
        <v>35.700000000000003</v>
      </c>
      <c r="T272" s="25">
        <v>0.753</v>
      </c>
      <c r="U272" s="2">
        <v>14.2</v>
      </c>
      <c r="V272" s="2">
        <v>30.2</v>
      </c>
      <c r="W272" s="2">
        <v>43.4</v>
      </c>
      <c r="X272" s="2">
        <v>0.09</v>
      </c>
      <c r="Y272" s="2">
        <v>44.9</v>
      </c>
      <c r="Z272" s="2">
        <v>0.122</v>
      </c>
      <c r="AA272" s="2">
        <v>0.16800000000000001</v>
      </c>
      <c r="AB272" s="2">
        <v>0.20899999999999999</v>
      </c>
      <c r="AC272" s="2">
        <v>0.34100000000000003</v>
      </c>
      <c r="AD272" s="67">
        <v>0.42899999999999999</v>
      </c>
      <c r="AE272" s="2">
        <v>30</v>
      </c>
      <c r="AF272" s="2">
        <v>4</v>
      </c>
      <c r="AG272" s="2">
        <v>9</v>
      </c>
    </row>
    <row r="273" spans="1:33" x14ac:dyDescent="0.45">
      <c r="A273" s="1" t="s">
        <v>26</v>
      </c>
      <c r="B273" s="2">
        <v>1</v>
      </c>
      <c r="C273" s="2">
        <v>1.1779999999999999</v>
      </c>
      <c r="D273" s="2">
        <v>0.95499999999999996</v>
      </c>
      <c r="E273" s="2">
        <v>0.27100000000000002</v>
      </c>
      <c r="F273" s="2">
        <v>47</v>
      </c>
      <c r="G273" s="2">
        <v>34.799999999999997</v>
      </c>
      <c r="H273" s="2">
        <v>18.100000000000001</v>
      </c>
      <c r="I273" s="2">
        <v>116</v>
      </c>
      <c r="J273" s="2">
        <v>35.5</v>
      </c>
      <c r="K273" s="2">
        <v>43.6</v>
      </c>
      <c r="L273" s="2">
        <v>55</v>
      </c>
      <c r="M273" s="2"/>
      <c r="N273" s="2">
        <v>0.32600000000000001</v>
      </c>
      <c r="O273" s="2">
        <v>72.5</v>
      </c>
      <c r="P273" s="2">
        <v>1.022</v>
      </c>
      <c r="Q273" s="2">
        <v>3.7</v>
      </c>
      <c r="R273" s="2">
        <v>61.6</v>
      </c>
      <c r="S273" s="2">
        <v>36.9</v>
      </c>
      <c r="T273" s="25">
        <v>0.73099999999999998</v>
      </c>
      <c r="U273" s="2">
        <v>14.7</v>
      </c>
      <c r="V273" s="2">
        <v>29.4</v>
      </c>
      <c r="W273" s="2">
        <v>37.200000000000003</v>
      </c>
      <c r="X273" s="2">
        <v>7.2999999999999995E-2</v>
      </c>
      <c r="Y273" s="2">
        <v>45.3</v>
      </c>
      <c r="Z273" s="2">
        <v>0.104</v>
      </c>
      <c r="AA273" s="2">
        <v>0.155</v>
      </c>
      <c r="AB273" s="2">
        <v>0.16400000000000001</v>
      </c>
      <c r="AC273" s="2">
        <v>0.33</v>
      </c>
      <c r="AD273" s="67">
        <v>0.5</v>
      </c>
      <c r="AE273" s="2">
        <v>30</v>
      </c>
      <c r="AF273" s="2">
        <v>4</v>
      </c>
      <c r="AG273" s="2">
        <v>32</v>
      </c>
    </row>
    <row r="274" spans="1:33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</row>
    <row r="275" spans="1:33" ht="14.65" thickBot="1" x14ac:dyDescent="0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</row>
    <row r="276" spans="1:33" x14ac:dyDescent="0.45">
      <c r="A276" s="70" t="s">
        <v>103</v>
      </c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2"/>
    </row>
    <row r="277" spans="1:33" ht="14.65" thickBot="1" x14ac:dyDescent="0.5">
      <c r="A277" s="73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5"/>
    </row>
    <row r="278" spans="1:33" x14ac:dyDescent="0.45">
      <c r="A278" s="1" t="s">
        <v>26</v>
      </c>
      <c r="B278" s="2">
        <v>1</v>
      </c>
      <c r="C278" s="2">
        <v>1.1779999999999999</v>
      </c>
      <c r="D278" s="2">
        <v>0.95499999999999996</v>
      </c>
      <c r="E278" s="2">
        <v>0.27100000000000002</v>
      </c>
      <c r="F278" s="2">
        <v>47</v>
      </c>
      <c r="G278" s="2">
        <v>34.799999999999997</v>
      </c>
      <c r="H278" s="2">
        <v>18.100000000000001</v>
      </c>
      <c r="I278" s="2">
        <v>116</v>
      </c>
      <c r="J278" s="2">
        <v>35.5</v>
      </c>
      <c r="K278" s="2">
        <v>43.6</v>
      </c>
      <c r="L278" s="2">
        <v>55</v>
      </c>
      <c r="M278" s="2"/>
      <c r="N278" s="2">
        <v>0.32600000000000001</v>
      </c>
      <c r="O278" s="2">
        <v>72.5</v>
      </c>
      <c r="P278" s="2">
        <v>1.022</v>
      </c>
      <c r="Q278" s="2">
        <v>3.7</v>
      </c>
      <c r="R278" s="2">
        <v>61.6</v>
      </c>
      <c r="S278" s="2">
        <v>36.9</v>
      </c>
      <c r="T278" s="25">
        <v>0.73099999999999998</v>
      </c>
      <c r="U278" s="2">
        <v>14.7</v>
      </c>
      <c r="V278" s="2">
        <v>29.4</v>
      </c>
      <c r="W278" s="2">
        <v>37.200000000000003</v>
      </c>
      <c r="X278" s="2">
        <v>7.2999999999999995E-2</v>
      </c>
      <c r="Y278" s="2">
        <v>45.3</v>
      </c>
      <c r="Z278" s="2">
        <v>0.104</v>
      </c>
      <c r="AA278" s="2">
        <v>0.155</v>
      </c>
      <c r="AB278" s="2">
        <v>0.16400000000000001</v>
      </c>
      <c r="AC278" s="2">
        <v>0.33</v>
      </c>
      <c r="AD278" s="67">
        <v>0.5</v>
      </c>
      <c r="AE278" s="2">
        <v>30</v>
      </c>
      <c r="AF278" s="2">
        <v>4</v>
      </c>
      <c r="AG278" s="2">
        <v>32</v>
      </c>
    </row>
    <row r="279" spans="1:33" x14ac:dyDescent="0.45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</row>
    <row r="280" spans="1:33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</row>
    <row r="284" spans="1:33" x14ac:dyDescent="0.45">
      <c r="U284" s="8"/>
      <c r="V284" s="8"/>
      <c r="W284" s="8"/>
      <c r="X284" s="36"/>
    </row>
  </sheetData>
  <sortState xmlns:xlrd2="http://schemas.microsoft.com/office/spreadsheetml/2017/richdata2" ref="A2:AG66">
    <sortCondition ref="B2:B66"/>
  </sortState>
  <mergeCells count="72">
    <mergeCell ref="A274:AG275"/>
    <mergeCell ref="A256:AG256"/>
    <mergeCell ref="A265:AG265"/>
    <mergeCell ref="A261:AG262"/>
    <mergeCell ref="A73:AG73"/>
    <mergeCell ref="A76:AG76"/>
    <mergeCell ref="A79:AG79"/>
    <mergeCell ref="A82:AG82"/>
    <mergeCell ref="A85:AG85"/>
    <mergeCell ref="A88:AG88"/>
    <mergeCell ref="A91:AG91"/>
    <mergeCell ref="A94:AG94"/>
    <mergeCell ref="A235:AG235"/>
    <mergeCell ref="A238:AG238"/>
    <mergeCell ref="A241:AG241"/>
    <mergeCell ref="A250:AG250"/>
    <mergeCell ref="A253:AG253"/>
    <mergeCell ref="A214:AG214"/>
    <mergeCell ref="A223:AG223"/>
    <mergeCell ref="A226:AG226"/>
    <mergeCell ref="A229:AG229"/>
    <mergeCell ref="A232:AG232"/>
    <mergeCell ref="A244:AG245"/>
    <mergeCell ref="A246:AG247"/>
    <mergeCell ref="A172:AG172"/>
    <mergeCell ref="A259:AG260"/>
    <mergeCell ref="A219:AG220"/>
    <mergeCell ref="A175:AG175"/>
    <mergeCell ref="A178:AG178"/>
    <mergeCell ref="A181:AG181"/>
    <mergeCell ref="A184:AG184"/>
    <mergeCell ref="A187:AG187"/>
    <mergeCell ref="A190:AG190"/>
    <mergeCell ref="A193:AG193"/>
    <mergeCell ref="A196:AG196"/>
    <mergeCell ref="A199:AG199"/>
    <mergeCell ref="A202:AG202"/>
    <mergeCell ref="A205:AG205"/>
    <mergeCell ref="A208:AG208"/>
    <mergeCell ref="A211:AG211"/>
    <mergeCell ref="A160:AG160"/>
    <mergeCell ref="A163:AG163"/>
    <mergeCell ref="A268:AG269"/>
    <mergeCell ref="A270:AG271"/>
    <mergeCell ref="A97:AG97"/>
    <mergeCell ref="A100:AG100"/>
    <mergeCell ref="A103:AG103"/>
    <mergeCell ref="A106:AG106"/>
    <mergeCell ref="A109:AG109"/>
    <mergeCell ref="A112:AG112"/>
    <mergeCell ref="A115:AG115"/>
    <mergeCell ref="A118:AG118"/>
    <mergeCell ref="A121:AG121"/>
    <mergeCell ref="A124:AG124"/>
    <mergeCell ref="A127:AG127"/>
    <mergeCell ref="A130:AG130"/>
    <mergeCell ref="A276:AG277"/>
    <mergeCell ref="A279:AG280"/>
    <mergeCell ref="A67:AG68"/>
    <mergeCell ref="A69:AG70"/>
    <mergeCell ref="A166:AG167"/>
    <mergeCell ref="A168:AG169"/>
    <mergeCell ref="A217:AG218"/>
    <mergeCell ref="A133:AG133"/>
    <mergeCell ref="A136:AG136"/>
    <mergeCell ref="A139:AG139"/>
    <mergeCell ref="A142:AG142"/>
    <mergeCell ref="A145:AG145"/>
    <mergeCell ref="A148:AG148"/>
    <mergeCell ref="A151:AG151"/>
    <mergeCell ref="A154:AG154"/>
    <mergeCell ref="A157:AG1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AEB7-394D-4887-BD60-C24AA3D2391A}">
  <dimension ref="A1:BP280"/>
  <sheetViews>
    <sheetView tabSelected="1" zoomScale="70" zoomScaleNormal="70" workbookViewId="0">
      <selection activeCell="L14" sqref="L13:L14"/>
    </sheetView>
  </sheetViews>
  <sheetFormatPr defaultRowHeight="14.25" x14ac:dyDescent="0.45"/>
  <cols>
    <col min="1" max="1" width="14" bestFit="1" customWidth="1"/>
    <col min="2" max="2" width="9.1328125" style="8"/>
    <col min="4" max="4" width="9.1328125" customWidth="1"/>
    <col min="5" max="5" width="9.73046875" bestFit="1" customWidth="1"/>
    <col min="6" max="6" width="10" style="29" bestFit="1" customWidth="1"/>
    <col min="7" max="7" width="10.1328125" style="29" customWidth="1"/>
    <col min="8" max="8" width="10" style="29" bestFit="1" customWidth="1"/>
    <col min="9" max="9" width="9.73046875" style="29" bestFit="1" customWidth="1"/>
    <col min="10" max="12" width="10" style="29" bestFit="1" customWidth="1"/>
    <col min="13" max="13" width="9.59765625" customWidth="1"/>
    <col min="14" max="14" width="9.73046875" style="29" bestFit="1" customWidth="1"/>
    <col min="15" max="15" width="9.73046875" bestFit="1" customWidth="1"/>
    <col min="16" max="16" width="11.86328125" customWidth="1"/>
    <col min="17" max="17" width="14.73046875" customWidth="1"/>
    <col min="18" max="18" width="10" style="29" bestFit="1" customWidth="1"/>
    <col min="19" max="21" width="9.73046875" style="29" bestFit="1" customWidth="1"/>
    <col min="22" max="22" width="10.3984375" style="29" bestFit="1" customWidth="1"/>
    <col min="23" max="25" width="9.73046875" style="29" bestFit="1" customWidth="1"/>
    <col min="26" max="26" width="11.1328125" style="29" bestFit="1" customWidth="1"/>
    <col min="27" max="29" width="9.73046875" bestFit="1" customWidth="1"/>
    <col min="30" max="30" width="9.73046875" style="29" bestFit="1" customWidth="1"/>
  </cols>
  <sheetData>
    <row r="1" spans="1:68" ht="43.15" thickBot="1" x14ac:dyDescent="0.5">
      <c r="A1" s="3" t="s">
        <v>87</v>
      </c>
      <c r="B1" s="3" t="s">
        <v>7</v>
      </c>
      <c r="C1" s="3" t="s">
        <v>0</v>
      </c>
      <c r="D1" s="3" t="s">
        <v>1</v>
      </c>
      <c r="E1" s="3" t="s">
        <v>85</v>
      </c>
      <c r="F1" s="20" t="s">
        <v>80</v>
      </c>
      <c r="G1" s="20" t="s">
        <v>81</v>
      </c>
      <c r="H1" s="20" t="s">
        <v>82</v>
      </c>
      <c r="I1" s="20" t="s">
        <v>79</v>
      </c>
      <c r="J1" s="20" t="s">
        <v>12</v>
      </c>
      <c r="K1" s="20" t="s">
        <v>13</v>
      </c>
      <c r="L1" s="20" t="s">
        <v>63</v>
      </c>
      <c r="M1" s="3" t="s">
        <v>109</v>
      </c>
      <c r="N1" s="20" t="s">
        <v>11</v>
      </c>
      <c r="O1" s="3" t="s">
        <v>8</v>
      </c>
      <c r="P1" s="3" t="s">
        <v>83</v>
      </c>
      <c r="Q1" s="3" t="s">
        <v>84</v>
      </c>
      <c r="R1" s="20" t="s">
        <v>86</v>
      </c>
      <c r="S1" s="20" t="s">
        <v>9</v>
      </c>
      <c r="T1" s="20" t="s">
        <v>102</v>
      </c>
      <c r="U1" s="20" t="s">
        <v>10</v>
      </c>
      <c r="V1" s="20" t="s">
        <v>99</v>
      </c>
      <c r="W1" s="20" t="s">
        <v>100</v>
      </c>
      <c r="X1" s="20" t="s">
        <v>101</v>
      </c>
      <c r="Y1" s="20" t="s">
        <v>64</v>
      </c>
      <c r="Z1" s="17" t="s">
        <v>97</v>
      </c>
      <c r="AA1" s="3" t="s">
        <v>104</v>
      </c>
      <c r="AB1" s="3" t="s">
        <v>105</v>
      </c>
      <c r="AC1" s="3" t="s">
        <v>90</v>
      </c>
      <c r="AD1" s="20" t="s">
        <v>65</v>
      </c>
      <c r="AE1" s="3" t="s">
        <v>66</v>
      </c>
      <c r="AF1" s="3" t="s">
        <v>67</v>
      </c>
      <c r="AG1" s="3" t="s">
        <v>68</v>
      </c>
    </row>
    <row r="2" spans="1:68" x14ac:dyDescent="0.45">
      <c r="A2" s="1"/>
      <c r="B2" s="1">
        <v>1</v>
      </c>
      <c r="C2" s="1"/>
      <c r="D2" s="1"/>
      <c r="E2" s="1"/>
      <c r="F2" s="28"/>
      <c r="G2" s="28"/>
      <c r="H2" s="28"/>
      <c r="I2" s="28"/>
      <c r="J2" s="28"/>
      <c r="K2" s="28"/>
      <c r="L2" s="28"/>
      <c r="M2" s="2"/>
      <c r="N2" s="28"/>
      <c r="O2" s="1"/>
      <c r="P2" s="1"/>
      <c r="Q2" s="1"/>
      <c r="R2" s="28"/>
      <c r="S2" s="28"/>
      <c r="T2" s="28"/>
      <c r="U2" s="28"/>
      <c r="V2" s="28"/>
      <c r="W2" s="28"/>
      <c r="X2" s="28"/>
      <c r="Y2" s="28"/>
      <c r="Z2" s="28"/>
      <c r="AA2" s="1"/>
      <c r="AB2" s="1"/>
      <c r="AC2" s="1"/>
      <c r="AD2" s="62"/>
      <c r="AE2" s="39"/>
      <c r="AF2" s="39"/>
      <c r="AG2" s="39"/>
    </row>
    <row r="3" spans="1:68" x14ac:dyDescent="0.45">
      <c r="A3" s="1"/>
      <c r="B3" s="1">
        <v>1</v>
      </c>
      <c r="C3" s="1"/>
      <c r="D3" s="1"/>
      <c r="E3" s="1"/>
      <c r="F3" s="28"/>
      <c r="G3" s="28"/>
      <c r="H3" s="28"/>
      <c r="I3" s="28"/>
      <c r="J3" s="28"/>
      <c r="K3" s="28"/>
      <c r="L3" s="28"/>
      <c r="M3" s="2"/>
      <c r="N3" s="28"/>
      <c r="O3" s="1"/>
      <c r="P3" s="1"/>
      <c r="Q3" s="1"/>
      <c r="R3" s="28"/>
      <c r="S3" s="28"/>
      <c r="T3" s="28"/>
      <c r="U3" s="28"/>
      <c r="V3" s="28"/>
      <c r="W3" s="28"/>
      <c r="X3" s="28"/>
      <c r="Y3" s="28"/>
      <c r="Z3" s="28"/>
      <c r="AA3" s="1"/>
      <c r="AB3" s="1"/>
      <c r="AC3" s="1"/>
      <c r="AD3" s="63"/>
      <c r="AE3" s="38"/>
      <c r="AF3" s="38"/>
      <c r="AG3" s="38"/>
    </row>
    <row r="4" spans="1:68" x14ac:dyDescent="0.45">
      <c r="A4" s="1"/>
      <c r="B4" s="1">
        <v>1</v>
      </c>
      <c r="C4" s="1"/>
      <c r="D4" s="1"/>
      <c r="E4" s="1"/>
      <c r="F4" s="28"/>
      <c r="G4" s="28"/>
      <c r="H4" s="28"/>
      <c r="I4" s="28"/>
      <c r="J4" s="28"/>
      <c r="K4" s="28"/>
      <c r="L4" s="28"/>
      <c r="M4" s="2"/>
      <c r="N4" s="28"/>
      <c r="O4" s="1"/>
      <c r="P4" s="1"/>
      <c r="Q4" s="1"/>
      <c r="R4" s="28"/>
      <c r="S4" s="28"/>
      <c r="T4" s="28"/>
      <c r="U4" s="28"/>
      <c r="V4" s="28"/>
      <c r="W4" s="28"/>
      <c r="X4" s="28"/>
      <c r="Y4" s="28"/>
      <c r="Z4" s="28"/>
      <c r="AA4" s="1"/>
      <c r="AB4" s="1"/>
      <c r="AC4" s="1"/>
      <c r="AD4" s="63"/>
      <c r="AE4" s="38"/>
      <c r="AF4" s="38"/>
      <c r="AG4" s="38"/>
    </row>
    <row r="5" spans="1:68" s="15" customFormat="1" ht="14.65" thickBot="1" x14ac:dyDescent="0.5">
      <c r="A5" s="13"/>
      <c r="B5" s="13">
        <v>1</v>
      </c>
      <c r="C5" s="13"/>
      <c r="D5" s="13"/>
      <c r="E5" s="13"/>
      <c r="F5" s="26"/>
      <c r="G5" s="26"/>
      <c r="H5" s="26"/>
      <c r="I5" s="26"/>
      <c r="J5" s="26"/>
      <c r="K5" s="26"/>
      <c r="L5" s="26"/>
      <c r="M5" s="41"/>
      <c r="N5" s="26"/>
      <c r="O5" s="13"/>
      <c r="P5" s="13"/>
      <c r="Q5" s="13"/>
      <c r="R5" s="26"/>
      <c r="S5" s="26"/>
      <c r="T5" s="26"/>
      <c r="U5" s="26"/>
      <c r="V5" s="26"/>
      <c r="W5" s="26"/>
      <c r="X5" s="26"/>
      <c r="Y5" s="26"/>
      <c r="Z5" s="26"/>
      <c r="AA5" s="13"/>
      <c r="AB5" s="13"/>
      <c r="AC5" s="13"/>
      <c r="AD5" s="65"/>
      <c r="AE5" s="40"/>
      <c r="AF5" s="40"/>
      <c r="AG5" s="40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45">
      <c r="A6" s="2"/>
      <c r="B6" s="2">
        <v>2</v>
      </c>
      <c r="C6" s="2"/>
      <c r="D6" s="2"/>
      <c r="E6" s="2"/>
      <c r="F6" s="25"/>
      <c r="G6" s="25"/>
      <c r="H6" s="25"/>
      <c r="I6" s="25"/>
      <c r="J6" s="25"/>
      <c r="K6" s="25"/>
      <c r="L6" s="25"/>
      <c r="M6" s="2"/>
      <c r="N6" s="25"/>
      <c r="O6" s="2"/>
      <c r="P6" s="2"/>
      <c r="Q6" s="2"/>
      <c r="R6" s="25"/>
      <c r="S6" s="25"/>
      <c r="T6" s="25"/>
      <c r="U6" s="25"/>
      <c r="V6" s="25"/>
      <c r="W6" s="25"/>
      <c r="X6" s="25"/>
      <c r="Y6" s="25"/>
      <c r="Z6" s="25"/>
      <c r="AA6" s="2"/>
      <c r="AB6" s="2"/>
      <c r="AC6" s="2"/>
      <c r="AD6" s="62"/>
      <c r="AE6" s="39"/>
      <c r="AF6" s="39"/>
      <c r="AG6" s="39"/>
    </row>
    <row r="7" spans="1:68" x14ac:dyDescent="0.45">
      <c r="A7" s="1"/>
      <c r="B7" s="1">
        <v>2</v>
      </c>
      <c r="C7" s="1"/>
      <c r="D7" s="1"/>
      <c r="E7" s="1"/>
      <c r="F7" s="28"/>
      <c r="G7" s="28"/>
      <c r="H7" s="28"/>
      <c r="I7" s="28"/>
      <c r="J7" s="28"/>
      <c r="K7" s="28"/>
      <c r="L7" s="28"/>
      <c r="M7" s="2"/>
      <c r="N7" s="28"/>
      <c r="O7" s="1"/>
      <c r="P7" s="1"/>
      <c r="Q7" s="1"/>
      <c r="R7" s="28"/>
      <c r="S7" s="28"/>
      <c r="T7" s="28"/>
      <c r="U7" s="28"/>
      <c r="V7" s="28"/>
      <c r="W7" s="28"/>
      <c r="X7" s="28"/>
      <c r="Y7" s="28"/>
      <c r="Z7" s="28"/>
      <c r="AA7" s="1"/>
      <c r="AB7" s="1"/>
      <c r="AC7" s="1"/>
      <c r="AD7" s="63"/>
      <c r="AE7" s="38"/>
      <c r="AF7" s="38"/>
      <c r="AG7" s="38"/>
    </row>
    <row r="8" spans="1:68" x14ac:dyDescent="0.45">
      <c r="A8" s="1"/>
      <c r="B8" s="1">
        <v>2</v>
      </c>
      <c r="C8" s="1"/>
      <c r="D8" s="1"/>
      <c r="E8" s="1"/>
      <c r="F8" s="28"/>
      <c r="G8" s="28"/>
      <c r="H8" s="28"/>
      <c r="I8" s="28"/>
      <c r="J8" s="28"/>
      <c r="K8" s="28"/>
      <c r="L8" s="28"/>
      <c r="M8" s="2"/>
      <c r="N8" s="28"/>
      <c r="O8" s="1"/>
      <c r="P8" s="1"/>
      <c r="Q8" s="1"/>
      <c r="R8" s="28"/>
      <c r="S8" s="28"/>
      <c r="T8" s="28"/>
      <c r="U8" s="28"/>
      <c r="V8" s="28"/>
      <c r="W8" s="28"/>
      <c r="X8" s="28"/>
      <c r="Y8" s="28"/>
      <c r="Z8" s="28"/>
      <c r="AA8" s="1"/>
      <c r="AB8" s="1"/>
      <c r="AC8" s="1"/>
      <c r="AD8" s="63"/>
      <c r="AE8" s="38"/>
      <c r="AF8" s="38"/>
      <c r="AG8" s="38"/>
    </row>
    <row r="9" spans="1:68" s="15" customFormat="1" ht="14.65" thickBot="1" x14ac:dyDescent="0.5">
      <c r="A9" s="13"/>
      <c r="B9" s="13">
        <v>2</v>
      </c>
      <c r="C9" s="13"/>
      <c r="D9" s="13"/>
      <c r="E9" s="13"/>
      <c r="F9" s="26"/>
      <c r="G9" s="26"/>
      <c r="H9" s="26"/>
      <c r="I9" s="26"/>
      <c r="J9" s="26"/>
      <c r="K9" s="26"/>
      <c r="L9" s="26"/>
      <c r="M9" s="41"/>
      <c r="N9" s="26"/>
      <c r="O9" s="13"/>
      <c r="P9" s="13"/>
      <c r="Q9" s="13"/>
      <c r="R9" s="26"/>
      <c r="S9" s="26"/>
      <c r="T9" s="26"/>
      <c r="U9" s="26"/>
      <c r="V9" s="26"/>
      <c r="W9" s="26"/>
      <c r="X9" s="26"/>
      <c r="Y9" s="26"/>
      <c r="Z9" s="26"/>
      <c r="AA9" s="13"/>
      <c r="AB9" s="13"/>
      <c r="AC9" s="13"/>
      <c r="AD9" s="65"/>
      <c r="AE9" s="40"/>
      <c r="AF9" s="40"/>
      <c r="AG9" s="40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 spans="1:68" x14ac:dyDescent="0.45">
      <c r="A10" s="2"/>
      <c r="B10" s="2">
        <v>3</v>
      </c>
      <c r="C10" s="2"/>
      <c r="D10" s="2"/>
      <c r="E10" s="2"/>
      <c r="F10" s="25"/>
      <c r="G10" s="25"/>
      <c r="H10" s="25"/>
      <c r="I10" s="25"/>
      <c r="J10" s="25"/>
      <c r="K10" s="25"/>
      <c r="L10" s="25"/>
      <c r="M10" s="2"/>
      <c r="N10" s="25"/>
      <c r="O10" s="2"/>
      <c r="P10" s="2"/>
      <c r="Q10" s="2"/>
      <c r="R10" s="25"/>
      <c r="S10" s="25"/>
      <c r="T10" s="25"/>
      <c r="U10" s="25"/>
      <c r="V10" s="25"/>
      <c r="W10" s="25"/>
      <c r="X10" s="25"/>
      <c r="Y10" s="25"/>
      <c r="Z10" s="25"/>
      <c r="AA10" s="2"/>
      <c r="AB10" s="2"/>
      <c r="AC10" s="2"/>
      <c r="AD10" s="62"/>
      <c r="AE10" s="39"/>
      <c r="AF10" s="39"/>
      <c r="AG10" s="39"/>
    </row>
    <row r="11" spans="1:68" x14ac:dyDescent="0.45">
      <c r="A11" s="1"/>
      <c r="B11" s="1">
        <v>3</v>
      </c>
      <c r="C11" s="1"/>
      <c r="D11" s="1"/>
      <c r="E11" s="1"/>
      <c r="F11" s="28"/>
      <c r="G11" s="28"/>
      <c r="H11" s="28"/>
      <c r="I11" s="28"/>
      <c r="J11" s="28"/>
      <c r="K11" s="28"/>
      <c r="L11" s="28"/>
      <c r="M11" s="2"/>
      <c r="N11" s="28"/>
      <c r="O11" s="1"/>
      <c r="P11" s="1"/>
      <c r="Q11" s="1"/>
      <c r="R11" s="28"/>
      <c r="S11" s="28"/>
      <c r="T11" s="28"/>
      <c r="U11" s="28"/>
      <c r="V11" s="28"/>
      <c r="W11" s="28"/>
      <c r="X11" s="28"/>
      <c r="Y11" s="28"/>
      <c r="Z11" s="28"/>
      <c r="AA11" s="1"/>
      <c r="AB11" s="1"/>
      <c r="AC11" s="1"/>
      <c r="AD11" s="63"/>
      <c r="AE11" s="38"/>
      <c r="AF11" s="38"/>
      <c r="AG11" s="38"/>
    </row>
    <row r="12" spans="1:68" x14ac:dyDescent="0.45">
      <c r="A12" s="1"/>
      <c r="B12" s="1">
        <v>3</v>
      </c>
      <c r="C12" s="1"/>
      <c r="D12" s="1"/>
      <c r="E12" s="1"/>
      <c r="F12" s="28"/>
      <c r="G12" s="28"/>
      <c r="H12" s="28"/>
      <c r="I12" s="28"/>
      <c r="J12" s="28"/>
      <c r="K12" s="28"/>
      <c r="L12" s="28"/>
      <c r="M12" s="2"/>
      <c r="N12" s="28"/>
      <c r="O12" s="1"/>
      <c r="P12" s="1"/>
      <c r="Q12" s="1"/>
      <c r="R12" s="28"/>
      <c r="S12" s="28"/>
      <c r="T12" s="28"/>
      <c r="U12" s="28"/>
      <c r="V12" s="28"/>
      <c r="W12" s="28"/>
      <c r="X12" s="28"/>
      <c r="Y12" s="28"/>
      <c r="Z12" s="28"/>
      <c r="AA12" s="1"/>
      <c r="AB12" s="1"/>
      <c r="AC12" s="1"/>
      <c r="AD12" s="63"/>
      <c r="AE12" s="38"/>
      <c r="AF12" s="38"/>
      <c r="AG12" s="38"/>
    </row>
    <row r="13" spans="1:68" s="15" customFormat="1" ht="14.65" thickBot="1" x14ac:dyDescent="0.5">
      <c r="A13" s="13"/>
      <c r="B13" s="13">
        <v>3</v>
      </c>
      <c r="C13" s="13"/>
      <c r="D13" s="13"/>
      <c r="E13" s="13"/>
      <c r="F13" s="26"/>
      <c r="G13" s="26"/>
      <c r="H13" s="26"/>
      <c r="I13" s="26"/>
      <c r="J13" s="26"/>
      <c r="K13" s="26"/>
      <c r="L13" s="26"/>
      <c r="M13" s="41"/>
      <c r="N13" s="26"/>
      <c r="O13" s="13"/>
      <c r="P13" s="13"/>
      <c r="Q13" s="13"/>
      <c r="R13" s="26"/>
      <c r="S13" s="26"/>
      <c r="T13" s="26"/>
      <c r="U13" s="26"/>
      <c r="V13" s="26"/>
      <c r="W13" s="26"/>
      <c r="X13" s="26"/>
      <c r="Y13" s="26"/>
      <c r="Z13" s="26"/>
      <c r="AA13" s="13"/>
      <c r="AB13" s="13"/>
      <c r="AC13" s="13"/>
      <c r="AD13" s="65"/>
      <c r="AE13" s="40"/>
      <c r="AF13" s="40"/>
      <c r="AG13" s="40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68" x14ac:dyDescent="0.45">
      <c r="A14" s="2"/>
      <c r="B14" s="2">
        <v>4</v>
      </c>
      <c r="C14" s="2"/>
      <c r="D14" s="2"/>
      <c r="E14" s="2"/>
      <c r="F14" s="25"/>
      <c r="G14" s="25"/>
      <c r="H14" s="25"/>
      <c r="I14" s="25"/>
      <c r="J14" s="25"/>
      <c r="K14" s="25"/>
      <c r="L14" s="25"/>
      <c r="M14" s="2"/>
      <c r="N14" s="25"/>
      <c r="O14" s="2"/>
      <c r="P14" s="2"/>
      <c r="Q14" s="2"/>
      <c r="R14" s="25"/>
      <c r="S14" s="25"/>
      <c r="T14" s="25"/>
      <c r="U14" s="25"/>
      <c r="V14" s="25"/>
      <c r="W14" s="25"/>
      <c r="X14" s="25"/>
      <c r="Y14" s="25"/>
      <c r="Z14" s="25"/>
      <c r="AA14" s="2"/>
      <c r="AB14" s="2"/>
      <c r="AC14" s="2"/>
      <c r="AD14" s="62"/>
      <c r="AE14" s="39"/>
      <c r="AF14" s="39"/>
      <c r="AG14" s="39"/>
    </row>
    <row r="15" spans="1:68" x14ac:dyDescent="0.45">
      <c r="A15" s="1"/>
      <c r="B15" s="1">
        <v>4</v>
      </c>
      <c r="C15" s="1"/>
      <c r="D15" s="1"/>
      <c r="E15" s="1"/>
      <c r="F15" s="28"/>
      <c r="G15" s="28"/>
      <c r="H15" s="28"/>
      <c r="I15" s="28"/>
      <c r="J15" s="28"/>
      <c r="K15" s="28"/>
      <c r="L15" s="28"/>
      <c r="M15" s="2"/>
      <c r="N15" s="28"/>
      <c r="O15" s="1"/>
      <c r="P15" s="1"/>
      <c r="Q15" s="1"/>
      <c r="R15" s="28"/>
      <c r="S15" s="28"/>
      <c r="T15" s="28"/>
      <c r="U15" s="28"/>
      <c r="V15" s="28"/>
      <c r="W15" s="28"/>
      <c r="X15" s="28"/>
      <c r="Y15" s="28"/>
      <c r="Z15" s="28"/>
      <c r="AA15" s="1"/>
      <c r="AB15" s="1"/>
      <c r="AC15" s="1"/>
      <c r="AD15" s="63"/>
      <c r="AE15" s="38"/>
      <c r="AF15" s="38"/>
      <c r="AG15" s="38"/>
    </row>
    <row r="16" spans="1:68" x14ac:dyDescent="0.45">
      <c r="A16" s="1"/>
      <c r="B16" s="1">
        <v>4</v>
      </c>
      <c r="C16" s="1"/>
      <c r="D16" s="1"/>
      <c r="E16" s="1"/>
      <c r="F16" s="28"/>
      <c r="G16" s="28"/>
      <c r="H16" s="28"/>
      <c r="I16" s="28"/>
      <c r="J16" s="28"/>
      <c r="K16" s="28"/>
      <c r="L16" s="28"/>
      <c r="M16" s="2"/>
      <c r="N16" s="28"/>
      <c r="O16" s="1"/>
      <c r="P16" s="1"/>
      <c r="Q16" s="1"/>
      <c r="R16" s="28"/>
      <c r="S16" s="28"/>
      <c r="T16" s="28"/>
      <c r="U16" s="28"/>
      <c r="V16" s="28"/>
      <c r="W16" s="28"/>
      <c r="X16" s="28"/>
      <c r="Y16" s="28"/>
      <c r="Z16" s="28"/>
      <c r="AA16" s="1"/>
      <c r="AB16" s="1"/>
      <c r="AC16" s="1"/>
      <c r="AD16" s="63"/>
      <c r="AE16" s="38"/>
      <c r="AF16" s="38"/>
      <c r="AG16" s="38"/>
    </row>
    <row r="17" spans="1:68" s="15" customFormat="1" ht="14.65" thickBot="1" x14ac:dyDescent="0.5">
      <c r="A17" s="13"/>
      <c r="B17" s="13">
        <v>4</v>
      </c>
      <c r="C17" s="13"/>
      <c r="D17" s="13"/>
      <c r="E17" s="13"/>
      <c r="F17" s="26"/>
      <c r="G17" s="26"/>
      <c r="H17" s="26"/>
      <c r="I17" s="26"/>
      <c r="J17" s="26"/>
      <c r="K17" s="26"/>
      <c r="L17" s="26"/>
      <c r="M17" s="41"/>
      <c r="N17" s="26"/>
      <c r="O17" s="13"/>
      <c r="P17" s="13"/>
      <c r="Q17" s="13"/>
      <c r="R17" s="26"/>
      <c r="S17" s="26"/>
      <c r="T17" s="26"/>
      <c r="U17" s="26"/>
      <c r="V17" s="26"/>
      <c r="W17" s="26"/>
      <c r="X17" s="26"/>
      <c r="Y17" s="26"/>
      <c r="Z17" s="26"/>
      <c r="AA17" s="13"/>
      <c r="AB17" s="13"/>
      <c r="AC17" s="13"/>
      <c r="AD17" s="65"/>
      <c r="AE17" s="40"/>
      <c r="AF17" s="40"/>
      <c r="AG17" s="40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</row>
    <row r="18" spans="1:68" x14ac:dyDescent="0.45">
      <c r="A18" s="2"/>
      <c r="B18" s="2">
        <v>5</v>
      </c>
      <c r="C18" s="2"/>
      <c r="D18" s="2"/>
      <c r="E18" s="2"/>
      <c r="F18" s="25"/>
      <c r="G18" s="25"/>
      <c r="H18" s="25"/>
      <c r="I18" s="25"/>
      <c r="J18" s="25"/>
      <c r="K18" s="25"/>
      <c r="L18" s="25"/>
      <c r="M18" s="2"/>
      <c r="N18" s="25"/>
      <c r="O18" s="2"/>
      <c r="P18" s="2"/>
      <c r="Q18" s="2"/>
      <c r="R18" s="25"/>
      <c r="S18" s="25"/>
      <c r="T18" s="25"/>
      <c r="U18" s="25"/>
      <c r="V18" s="25"/>
      <c r="W18" s="25"/>
      <c r="X18" s="25"/>
      <c r="Y18" s="25"/>
      <c r="Z18" s="25"/>
      <c r="AA18" s="2"/>
      <c r="AB18" s="2"/>
      <c r="AC18" s="2"/>
      <c r="AD18" s="62"/>
      <c r="AE18" s="39"/>
      <c r="AF18" s="39"/>
      <c r="AG18" s="39"/>
    </row>
    <row r="19" spans="1:68" x14ac:dyDescent="0.45">
      <c r="A19" s="1"/>
      <c r="B19" s="1">
        <v>5</v>
      </c>
      <c r="C19" s="1"/>
      <c r="D19" s="1"/>
      <c r="E19" s="1"/>
      <c r="F19" s="28"/>
      <c r="G19" s="28"/>
      <c r="H19" s="28"/>
      <c r="I19" s="28"/>
      <c r="J19" s="28"/>
      <c r="K19" s="28"/>
      <c r="L19" s="28"/>
      <c r="M19" s="2"/>
      <c r="N19" s="28"/>
      <c r="O19" s="1"/>
      <c r="P19" s="1"/>
      <c r="Q19" s="1"/>
      <c r="R19" s="28"/>
      <c r="S19" s="28"/>
      <c r="T19" s="28"/>
      <c r="U19" s="28"/>
      <c r="V19" s="28"/>
      <c r="W19" s="28"/>
      <c r="X19" s="28"/>
      <c r="Y19" s="28"/>
      <c r="Z19" s="28"/>
      <c r="AA19" s="1"/>
      <c r="AB19" s="1"/>
      <c r="AC19" s="1"/>
      <c r="AD19" s="63"/>
      <c r="AE19" s="38"/>
      <c r="AF19" s="38"/>
      <c r="AG19" s="38"/>
    </row>
    <row r="20" spans="1:68" x14ac:dyDescent="0.45">
      <c r="A20" s="1"/>
      <c r="B20" s="1">
        <v>5</v>
      </c>
      <c r="C20" s="1"/>
      <c r="D20" s="1"/>
      <c r="E20" s="1"/>
      <c r="F20" s="28"/>
      <c r="G20" s="28"/>
      <c r="H20" s="28"/>
      <c r="I20" s="28"/>
      <c r="J20" s="28"/>
      <c r="K20" s="28"/>
      <c r="L20" s="28"/>
      <c r="M20" s="2"/>
      <c r="N20" s="28"/>
      <c r="O20" s="1"/>
      <c r="P20" s="1"/>
      <c r="Q20" s="1"/>
      <c r="R20" s="28"/>
      <c r="S20" s="28"/>
      <c r="T20" s="28"/>
      <c r="U20" s="28"/>
      <c r="V20" s="28"/>
      <c r="W20" s="28"/>
      <c r="X20" s="28"/>
      <c r="Y20" s="28"/>
      <c r="Z20" s="28"/>
      <c r="AA20" s="1"/>
      <c r="AB20" s="1"/>
      <c r="AC20" s="1"/>
      <c r="AD20" s="63"/>
      <c r="AE20" s="38"/>
      <c r="AF20" s="38"/>
      <c r="AG20" s="38"/>
    </row>
    <row r="21" spans="1:68" s="15" customFormat="1" ht="14.65" thickBot="1" x14ac:dyDescent="0.5">
      <c r="A21" s="13"/>
      <c r="B21" s="13">
        <v>5</v>
      </c>
      <c r="C21" s="13"/>
      <c r="D21" s="13"/>
      <c r="E21" s="13"/>
      <c r="F21" s="26"/>
      <c r="G21" s="26"/>
      <c r="H21" s="26"/>
      <c r="I21" s="26"/>
      <c r="J21" s="26"/>
      <c r="K21" s="26"/>
      <c r="L21" s="26"/>
      <c r="M21" s="41"/>
      <c r="N21" s="26"/>
      <c r="O21" s="13"/>
      <c r="P21" s="13"/>
      <c r="Q21" s="13"/>
      <c r="R21" s="26"/>
      <c r="S21" s="26"/>
      <c r="T21" s="26"/>
      <c r="U21" s="26"/>
      <c r="V21" s="26"/>
      <c r="W21" s="26"/>
      <c r="X21" s="26"/>
      <c r="Y21" s="26"/>
      <c r="Z21" s="26"/>
      <c r="AA21" s="13"/>
      <c r="AB21" s="13"/>
      <c r="AC21" s="13"/>
      <c r="AD21" s="65"/>
      <c r="AE21" s="40"/>
      <c r="AF21" s="40"/>
      <c r="AG21" s="40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</row>
    <row r="22" spans="1:68" x14ac:dyDescent="0.45">
      <c r="A22" s="2"/>
      <c r="B22" s="2">
        <v>6</v>
      </c>
      <c r="C22" s="2"/>
      <c r="D22" s="2"/>
      <c r="E22" s="2"/>
      <c r="F22" s="25"/>
      <c r="G22" s="25"/>
      <c r="H22" s="25"/>
      <c r="I22" s="25"/>
      <c r="J22" s="25"/>
      <c r="K22" s="25"/>
      <c r="L22" s="25"/>
      <c r="M22" s="2"/>
      <c r="N22" s="25"/>
      <c r="O22" s="2"/>
      <c r="P22" s="2"/>
      <c r="Q22" s="2"/>
      <c r="R22" s="25"/>
      <c r="S22" s="25"/>
      <c r="T22" s="25"/>
      <c r="U22" s="25"/>
      <c r="V22" s="25"/>
      <c r="W22" s="25"/>
      <c r="X22" s="25"/>
      <c r="Y22" s="25"/>
      <c r="Z22" s="25"/>
      <c r="AA22" s="2"/>
      <c r="AB22" s="2"/>
      <c r="AC22" s="2"/>
      <c r="AD22" s="62"/>
      <c r="AE22" s="39"/>
      <c r="AF22" s="39"/>
      <c r="AG22" s="39"/>
    </row>
    <row r="23" spans="1:68" x14ac:dyDescent="0.45">
      <c r="A23" s="1"/>
      <c r="B23" s="1">
        <v>6</v>
      </c>
      <c r="C23" s="1"/>
      <c r="D23" s="1"/>
      <c r="E23" s="1"/>
      <c r="F23" s="28"/>
      <c r="G23" s="28"/>
      <c r="H23" s="28"/>
      <c r="I23" s="28"/>
      <c r="J23" s="28"/>
      <c r="K23" s="28"/>
      <c r="L23" s="28"/>
      <c r="M23" s="2"/>
      <c r="N23" s="28"/>
      <c r="O23" s="1"/>
      <c r="P23" s="1"/>
      <c r="Q23" s="1"/>
      <c r="R23" s="28"/>
      <c r="S23" s="28"/>
      <c r="T23" s="28"/>
      <c r="U23" s="28"/>
      <c r="V23" s="28"/>
      <c r="W23" s="28"/>
      <c r="X23" s="28"/>
      <c r="Y23" s="28"/>
      <c r="Z23" s="28"/>
      <c r="AA23" s="1"/>
      <c r="AB23" s="1"/>
      <c r="AC23" s="1"/>
      <c r="AD23" s="63"/>
      <c r="AE23" s="38"/>
      <c r="AF23" s="38"/>
      <c r="AG23" s="38"/>
    </row>
    <row r="24" spans="1:68" x14ac:dyDescent="0.45">
      <c r="A24" s="1"/>
      <c r="B24" s="1">
        <v>6</v>
      </c>
      <c r="C24" s="1"/>
      <c r="D24" s="1"/>
      <c r="E24" s="1"/>
      <c r="F24" s="28"/>
      <c r="G24" s="28"/>
      <c r="H24" s="28"/>
      <c r="I24" s="28"/>
      <c r="J24" s="28"/>
      <c r="K24" s="28"/>
      <c r="L24" s="28"/>
      <c r="M24" s="2"/>
      <c r="N24" s="28"/>
      <c r="O24" s="1"/>
      <c r="P24" s="1"/>
      <c r="Q24" s="1"/>
      <c r="R24" s="28"/>
      <c r="S24" s="28"/>
      <c r="T24" s="28"/>
      <c r="U24" s="28"/>
      <c r="V24" s="28"/>
      <c r="W24" s="28"/>
      <c r="X24" s="28"/>
      <c r="Y24" s="28"/>
      <c r="Z24" s="28"/>
      <c r="AA24" s="1"/>
      <c r="AB24" s="1"/>
      <c r="AC24" s="1"/>
      <c r="AD24" s="63"/>
      <c r="AE24" s="38"/>
      <c r="AF24" s="38"/>
      <c r="AG24" s="38"/>
    </row>
    <row r="25" spans="1:68" s="15" customFormat="1" ht="14.65" thickBot="1" x14ac:dyDescent="0.5">
      <c r="A25" s="13"/>
      <c r="B25" s="13">
        <v>6</v>
      </c>
      <c r="C25" s="13"/>
      <c r="D25" s="13"/>
      <c r="E25" s="13"/>
      <c r="F25" s="26"/>
      <c r="G25" s="26"/>
      <c r="H25" s="26"/>
      <c r="I25" s="26"/>
      <c r="J25" s="26"/>
      <c r="K25" s="26"/>
      <c r="L25" s="26"/>
      <c r="M25" s="41"/>
      <c r="N25" s="26"/>
      <c r="O25" s="13"/>
      <c r="P25" s="13"/>
      <c r="Q25" s="13"/>
      <c r="R25" s="26"/>
      <c r="S25" s="26"/>
      <c r="T25" s="26"/>
      <c r="U25" s="26"/>
      <c r="V25" s="26"/>
      <c r="W25" s="26"/>
      <c r="X25" s="26"/>
      <c r="Y25" s="26"/>
      <c r="Z25" s="26"/>
      <c r="AA25" s="13"/>
      <c r="AB25" s="13"/>
      <c r="AC25" s="13"/>
      <c r="AD25" s="65"/>
      <c r="AE25" s="40"/>
      <c r="AF25" s="40"/>
      <c r="AG25" s="40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</row>
    <row r="26" spans="1:68" x14ac:dyDescent="0.45">
      <c r="A26" s="2"/>
      <c r="B26" s="2">
        <v>7</v>
      </c>
      <c r="C26" s="2"/>
      <c r="D26" s="2"/>
      <c r="E26" s="2"/>
      <c r="F26" s="25"/>
      <c r="G26" s="25"/>
      <c r="H26" s="25"/>
      <c r="I26" s="25"/>
      <c r="J26" s="25"/>
      <c r="K26" s="25"/>
      <c r="L26" s="25"/>
      <c r="M26" s="2"/>
      <c r="N26" s="25"/>
      <c r="O26" s="2"/>
      <c r="P26" s="2"/>
      <c r="Q26" s="2"/>
      <c r="R26" s="25"/>
      <c r="S26" s="25"/>
      <c r="T26" s="25"/>
      <c r="U26" s="25"/>
      <c r="V26" s="25"/>
      <c r="W26" s="25"/>
      <c r="X26" s="25"/>
      <c r="Y26" s="25"/>
      <c r="Z26" s="25"/>
      <c r="AA26" s="2"/>
      <c r="AB26" s="2"/>
      <c r="AC26" s="2"/>
      <c r="AD26" s="62"/>
      <c r="AE26" s="39"/>
      <c r="AF26" s="39"/>
      <c r="AG26" s="39"/>
    </row>
    <row r="27" spans="1:68" x14ac:dyDescent="0.45">
      <c r="A27" s="1"/>
      <c r="B27" s="1">
        <v>7</v>
      </c>
      <c r="C27" s="1"/>
      <c r="D27" s="1"/>
      <c r="E27" s="1"/>
      <c r="F27" s="28"/>
      <c r="G27" s="28"/>
      <c r="H27" s="28"/>
      <c r="I27" s="28"/>
      <c r="J27" s="28"/>
      <c r="K27" s="28"/>
      <c r="L27" s="28"/>
      <c r="M27" s="2"/>
      <c r="N27" s="28"/>
      <c r="O27" s="1"/>
      <c r="P27" s="1"/>
      <c r="Q27" s="1"/>
      <c r="R27" s="28"/>
      <c r="S27" s="28"/>
      <c r="T27" s="28"/>
      <c r="U27" s="28"/>
      <c r="V27" s="28"/>
      <c r="W27" s="28"/>
      <c r="X27" s="28"/>
      <c r="Y27" s="28"/>
      <c r="Z27" s="28"/>
      <c r="AA27" s="1"/>
      <c r="AB27" s="1"/>
      <c r="AC27" s="1"/>
      <c r="AD27" s="63"/>
      <c r="AE27" s="38"/>
      <c r="AF27" s="38"/>
      <c r="AG27" s="38"/>
    </row>
    <row r="28" spans="1:68" x14ac:dyDescent="0.45">
      <c r="A28" s="1"/>
      <c r="B28" s="1">
        <v>7</v>
      </c>
      <c r="C28" s="1"/>
      <c r="D28" s="1"/>
      <c r="E28" s="1"/>
      <c r="F28" s="28"/>
      <c r="G28" s="28"/>
      <c r="H28" s="28"/>
      <c r="I28" s="28"/>
      <c r="J28" s="28"/>
      <c r="K28" s="28"/>
      <c r="L28" s="28"/>
      <c r="M28" s="2"/>
      <c r="N28" s="28"/>
      <c r="O28" s="1"/>
      <c r="P28" s="1"/>
      <c r="Q28" s="1"/>
      <c r="R28" s="28"/>
      <c r="S28" s="28"/>
      <c r="T28" s="28"/>
      <c r="U28" s="28"/>
      <c r="V28" s="28"/>
      <c r="W28" s="28"/>
      <c r="X28" s="28"/>
      <c r="Y28" s="28"/>
      <c r="Z28" s="28"/>
      <c r="AA28" s="1"/>
      <c r="AB28" s="1"/>
      <c r="AC28" s="1"/>
      <c r="AD28" s="63"/>
      <c r="AE28" s="38"/>
      <c r="AF28" s="38"/>
      <c r="AG28" s="38"/>
    </row>
    <row r="29" spans="1:68" s="15" customFormat="1" ht="14.65" thickBot="1" x14ac:dyDescent="0.5">
      <c r="A29" s="13"/>
      <c r="B29" s="13">
        <v>7</v>
      </c>
      <c r="C29" s="13"/>
      <c r="D29" s="13"/>
      <c r="E29" s="13"/>
      <c r="F29" s="26"/>
      <c r="G29" s="26"/>
      <c r="H29" s="26"/>
      <c r="I29" s="26"/>
      <c r="J29" s="26"/>
      <c r="K29" s="26"/>
      <c r="L29" s="26"/>
      <c r="M29" s="41"/>
      <c r="N29" s="26"/>
      <c r="O29" s="13"/>
      <c r="P29" s="13"/>
      <c r="Q29" s="13"/>
      <c r="R29" s="26"/>
      <c r="S29" s="26"/>
      <c r="T29" s="26"/>
      <c r="U29" s="26"/>
      <c r="V29" s="26"/>
      <c r="W29" s="26"/>
      <c r="X29" s="26"/>
      <c r="Y29" s="26"/>
      <c r="Z29" s="26"/>
      <c r="AA29" s="13"/>
      <c r="AB29" s="13"/>
      <c r="AC29" s="13"/>
      <c r="AD29" s="65"/>
      <c r="AE29" s="40"/>
      <c r="AF29" s="40"/>
      <c r="AG29" s="40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</row>
    <row r="30" spans="1:68" x14ac:dyDescent="0.45">
      <c r="A30" s="2"/>
      <c r="B30" s="2">
        <v>8</v>
      </c>
      <c r="C30" s="2"/>
      <c r="D30" s="2"/>
      <c r="E30" s="2"/>
      <c r="F30" s="25"/>
      <c r="G30" s="25"/>
      <c r="H30" s="25"/>
      <c r="I30" s="25"/>
      <c r="J30" s="25"/>
      <c r="K30" s="25"/>
      <c r="L30" s="25"/>
      <c r="M30" s="2"/>
      <c r="N30" s="25"/>
      <c r="O30" s="2"/>
      <c r="P30" s="2"/>
      <c r="Q30" s="2"/>
      <c r="R30" s="25"/>
      <c r="S30" s="25"/>
      <c r="T30" s="25"/>
      <c r="U30" s="25"/>
      <c r="V30" s="25"/>
      <c r="W30" s="25"/>
      <c r="X30" s="25"/>
      <c r="Y30" s="25"/>
      <c r="Z30" s="25"/>
      <c r="AA30" s="2"/>
      <c r="AB30" s="2"/>
      <c r="AC30" s="2"/>
      <c r="AD30" s="62"/>
      <c r="AE30" s="39"/>
      <c r="AF30" s="39"/>
      <c r="AG30" s="39"/>
    </row>
    <row r="31" spans="1:68" x14ac:dyDescent="0.45">
      <c r="A31" s="1"/>
      <c r="B31" s="1">
        <v>8</v>
      </c>
      <c r="C31" s="1"/>
      <c r="D31" s="1"/>
      <c r="E31" s="1"/>
      <c r="F31" s="28"/>
      <c r="G31" s="28"/>
      <c r="H31" s="28"/>
      <c r="I31" s="28"/>
      <c r="J31" s="28"/>
      <c r="K31" s="28"/>
      <c r="L31" s="28"/>
      <c r="M31" s="2"/>
      <c r="N31" s="28"/>
      <c r="O31" s="1"/>
      <c r="P31" s="1"/>
      <c r="Q31" s="1"/>
      <c r="R31" s="28"/>
      <c r="S31" s="28"/>
      <c r="T31" s="28"/>
      <c r="U31" s="28"/>
      <c r="V31" s="28"/>
      <c r="W31" s="28"/>
      <c r="X31" s="28"/>
      <c r="Y31" s="28"/>
      <c r="Z31" s="28"/>
      <c r="AA31" s="1"/>
      <c r="AB31" s="1"/>
      <c r="AC31" s="1"/>
      <c r="AD31" s="63"/>
      <c r="AE31" s="38"/>
      <c r="AF31" s="38"/>
      <c r="AG31" s="38"/>
    </row>
    <row r="32" spans="1:68" x14ac:dyDescent="0.45">
      <c r="A32" s="1"/>
      <c r="B32" s="1">
        <v>8</v>
      </c>
      <c r="C32" s="1"/>
      <c r="D32" s="1"/>
      <c r="E32" s="1"/>
      <c r="F32" s="28"/>
      <c r="G32" s="28"/>
      <c r="H32" s="28"/>
      <c r="I32" s="28"/>
      <c r="J32" s="28"/>
      <c r="K32" s="28"/>
      <c r="L32" s="28"/>
      <c r="M32" s="2"/>
      <c r="N32" s="28"/>
      <c r="O32" s="1"/>
      <c r="P32" s="1"/>
      <c r="Q32" s="1"/>
      <c r="R32" s="28"/>
      <c r="S32" s="28"/>
      <c r="T32" s="28"/>
      <c r="U32" s="28"/>
      <c r="V32" s="28"/>
      <c r="W32" s="28"/>
      <c r="X32" s="28"/>
      <c r="Y32" s="28"/>
      <c r="Z32" s="28"/>
      <c r="AA32" s="1"/>
      <c r="AB32" s="1"/>
      <c r="AC32" s="1"/>
      <c r="AD32" s="63"/>
      <c r="AE32" s="38"/>
      <c r="AF32" s="38"/>
      <c r="AG32" s="38"/>
    </row>
    <row r="33" spans="1:68" s="15" customFormat="1" ht="14.65" thickBot="1" x14ac:dyDescent="0.5">
      <c r="A33" s="13"/>
      <c r="B33" s="13">
        <v>8</v>
      </c>
      <c r="C33" s="13"/>
      <c r="D33" s="13"/>
      <c r="E33" s="13"/>
      <c r="F33" s="26"/>
      <c r="G33" s="26"/>
      <c r="H33" s="26"/>
      <c r="I33" s="26"/>
      <c r="J33" s="26"/>
      <c r="K33" s="26"/>
      <c r="L33" s="26"/>
      <c r="M33" s="41"/>
      <c r="N33" s="26"/>
      <c r="O33" s="13"/>
      <c r="P33" s="13"/>
      <c r="Q33" s="13"/>
      <c r="R33" s="26"/>
      <c r="S33" s="26"/>
      <c r="T33" s="26"/>
      <c r="U33" s="26"/>
      <c r="V33" s="26"/>
      <c r="W33" s="26"/>
      <c r="X33" s="26"/>
      <c r="Y33" s="26"/>
      <c r="Z33" s="26"/>
      <c r="AA33" s="13"/>
      <c r="AB33" s="13"/>
      <c r="AC33" s="13"/>
      <c r="AD33" s="65"/>
      <c r="AE33" s="40"/>
      <c r="AF33" s="40"/>
      <c r="AG33" s="40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</row>
    <row r="34" spans="1:68" x14ac:dyDescent="0.45">
      <c r="A34" s="2"/>
      <c r="B34" s="2">
        <v>9</v>
      </c>
      <c r="C34" s="2"/>
      <c r="D34" s="2"/>
      <c r="E34" s="2"/>
      <c r="F34" s="25"/>
      <c r="G34" s="25"/>
      <c r="H34" s="25"/>
      <c r="I34" s="25"/>
      <c r="J34" s="25"/>
      <c r="K34" s="25"/>
      <c r="L34" s="25"/>
      <c r="M34" s="2"/>
      <c r="N34" s="25"/>
      <c r="O34" s="2"/>
      <c r="P34" s="2"/>
      <c r="Q34" s="2"/>
      <c r="R34" s="25"/>
      <c r="S34" s="25"/>
      <c r="T34" s="25"/>
      <c r="U34" s="25"/>
      <c r="V34" s="25"/>
      <c r="W34" s="25"/>
      <c r="X34" s="25"/>
      <c r="Y34" s="25"/>
      <c r="Z34" s="25"/>
      <c r="AA34" s="2"/>
      <c r="AB34" s="2"/>
      <c r="AC34" s="2"/>
      <c r="AD34" s="62"/>
      <c r="AE34" s="39"/>
      <c r="AF34" s="39"/>
      <c r="AG34" s="39"/>
    </row>
    <row r="35" spans="1:68" x14ac:dyDescent="0.45">
      <c r="A35" s="1"/>
      <c r="B35" s="1">
        <v>9</v>
      </c>
      <c r="C35" s="1"/>
      <c r="D35" s="1"/>
      <c r="E35" s="1"/>
      <c r="F35" s="28"/>
      <c r="G35" s="28"/>
      <c r="H35" s="28"/>
      <c r="I35" s="28"/>
      <c r="J35" s="28"/>
      <c r="K35" s="28"/>
      <c r="L35" s="28"/>
      <c r="M35" s="2"/>
      <c r="N35" s="28"/>
      <c r="O35" s="1"/>
      <c r="P35" s="1"/>
      <c r="Q35" s="1"/>
      <c r="R35" s="28"/>
      <c r="S35" s="28"/>
      <c r="T35" s="28"/>
      <c r="U35" s="28"/>
      <c r="V35" s="28"/>
      <c r="W35" s="28"/>
      <c r="X35" s="28"/>
      <c r="Y35" s="28"/>
      <c r="Z35" s="28"/>
      <c r="AA35" s="1"/>
      <c r="AB35" s="1"/>
      <c r="AC35" s="1"/>
      <c r="AD35" s="63"/>
      <c r="AE35" s="38"/>
      <c r="AF35" s="38"/>
      <c r="AG35" s="38"/>
    </row>
    <row r="36" spans="1:68" x14ac:dyDescent="0.45">
      <c r="A36" s="1"/>
      <c r="B36" s="1">
        <v>9</v>
      </c>
      <c r="C36" s="1"/>
      <c r="D36" s="1"/>
      <c r="E36" s="1"/>
      <c r="F36" s="28"/>
      <c r="G36" s="28"/>
      <c r="H36" s="28"/>
      <c r="I36" s="28"/>
      <c r="J36" s="28"/>
      <c r="K36" s="28"/>
      <c r="L36" s="28"/>
      <c r="M36" s="2"/>
      <c r="N36" s="28"/>
      <c r="O36" s="1"/>
      <c r="P36" s="1"/>
      <c r="Q36" s="1"/>
      <c r="R36" s="28"/>
      <c r="S36" s="28"/>
      <c r="T36" s="28"/>
      <c r="U36" s="28"/>
      <c r="V36" s="28"/>
      <c r="W36" s="28"/>
      <c r="X36" s="28"/>
      <c r="Y36" s="28"/>
      <c r="Z36" s="28"/>
      <c r="AA36" s="1"/>
      <c r="AB36" s="1"/>
      <c r="AC36" s="1"/>
      <c r="AD36" s="63"/>
      <c r="AE36" s="38"/>
      <c r="AF36" s="38"/>
      <c r="AG36" s="38"/>
    </row>
    <row r="37" spans="1:68" s="15" customFormat="1" ht="14.65" thickBot="1" x14ac:dyDescent="0.5">
      <c r="A37" s="13"/>
      <c r="B37" s="13">
        <v>9</v>
      </c>
      <c r="C37" s="13"/>
      <c r="D37" s="13"/>
      <c r="E37" s="13"/>
      <c r="F37" s="26"/>
      <c r="G37" s="26"/>
      <c r="H37" s="26"/>
      <c r="I37" s="26"/>
      <c r="J37" s="26"/>
      <c r="K37" s="26"/>
      <c r="L37" s="26"/>
      <c r="M37" s="41"/>
      <c r="N37" s="26"/>
      <c r="O37" s="13"/>
      <c r="P37" s="13"/>
      <c r="Q37" s="13"/>
      <c r="R37" s="26"/>
      <c r="S37" s="26"/>
      <c r="T37" s="26"/>
      <c r="U37" s="26"/>
      <c r="V37" s="26"/>
      <c r="W37" s="26"/>
      <c r="X37" s="26"/>
      <c r="Y37" s="26"/>
      <c r="Z37" s="26"/>
      <c r="AA37" s="13"/>
      <c r="AB37" s="13"/>
      <c r="AC37" s="13"/>
      <c r="AD37" s="65"/>
      <c r="AE37" s="40"/>
      <c r="AF37" s="40"/>
      <c r="AG37" s="40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</row>
    <row r="38" spans="1:68" x14ac:dyDescent="0.45">
      <c r="A38" s="2"/>
      <c r="B38" s="2">
        <v>10</v>
      </c>
      <c r="C38" s="2"/>
      <c r="D38" s="2"/>
      <c r="E38" s="2"/>
      <c r="F38" s="25"/>
      <c r="G38" s="25"/>
      <c r="H38" s="25"/>
      <c r="I38" s="25"/>
      <c r="J38" s="25"/>
      <c r="K38" s="25"/>
      <c r="L38" s="25"/>
      <c r="M38" s="2"/>
      <c r="N38" s="25"/>
      <c r="O38" s="2"/>
      <c r="P38" s="2"/>
      <c r="Q38" s="2"/>
      <c r="R38" s="25"/>
      <c r="S38" s="25"/>
      <c r="T38" s="25"/>
      <c r="U38" s="25"/>
      <c r="V38" s="25"/>
      <c r="W38" s="25"/>
      <c r="X38" s="25"/>
      <c r="Y38" s="25"/>
      <c r="Z38" s="25"/>
      <c r="AA38" s="2"/>
      <c r="AB38" s="2"/>
      <c r="AC38" s="2"/>
      <c r="AD38" s="62"/>
      <c r="AE38" s="39"/>
      <c r="AF38" s="39"/>
      <c r="AG38" s="39"/>
    </row>
    <row r="39" spans="1:68" x14ac:dyDescent="0.45">
      <c r="A39" s="1"/>
      <c r="B39" s="1">
        <v>10</v>
      </c>
      <c r="C39" s="1"/>
      <c r="D39" s="1"/>
      <c r="E39" s="1"/>
      <c r="F39" s="28"/>
      <c r="G39" s="28"/>
      <c r="H39" s="28"/>
      <c r="I39" s="28"/>
      <c r="J39" s="28"/>
      <c r="K39" s="28"/>
      <c r="L39" s="28"/>
      <c r="M39" s="2"/>
      <c r="N39" s="28"/>
      <c r="O39" s="1"/>
      <c r="P39" s="1"/>
      <c r="Q39" s="1"/>
      <c r="R39" s="28"/>
      <c r="S39" s="28"/>
      <c r="T39" s="28"/>
      <c r="U39" s="28"/>
      <c r="V39" s="28"/>
      <c r="W39" s="28"/>
      <c r="X39" s="28"/>
      <c r="Y39" s="28"/>
      <c r="Z39" s="28"/>
      <c r="AA39" s="1"/>
      <c r="AB39" s="1"/>
      <c r="AC39" s="1"/>
      <c r="AD39" s="63"/>
      <c r="AE39" s="38"/>
      <c r="AF39" s="38"/>
      <c r="AG39" s="38"/>
    </row>
    <row r="40" spans="1:68" x14ac:dyDescent="0.45">
      <c r="A40" s="1"/>
      <c r="B40" s="1">
        <v>10</v>
      </c>
      <c r="C40" s="1"/>
      <c r="D40" s="1"/>
      <c r="E40" s="1"/>
      <c r="F40" s="28"/>
      <c r="G40" s="28"/>
      <c r="H40" s="28"/>
      <c r="I40" s="28"/>
      <c r="J40" s="28"/>
      <c r="K40" s="28"/>
      <c r="L40" s="28"/>
      <c r="M40" s="2"/>
      <c r="N40" s="28"/>
      <c r="O40" s="1"/>
      <c r="P40" s="1"/>
      <c r="Q40" s="1"/>
      <c r="R40" s="28"/>
      <c r="S40" s="28"/>
      <c r="T40" s="28"/>
      <c r="U40" s="28"/>
      <c r="V40" s="28"/>
      <c r="W40" s="28"/>
      <c r="X40" s="28"/>
      <c r="Y40" s="28"/>
      <c r="Z40" s="28"/>
      <c r="AA40" s="1"/>
      <c r="AB40" s="1"/>
      <c r="AC40" s="1"/>
      <c r="AD40" s="63"/>
      <c r="AE40" s="38"/>
      <c r="AF40" s="38"/>
      <c r="AG40" s="38"/>
    </row>
    <row r="41" spans="1:68" s="15" customFormat="1" ht="14.65" thickBot="1" x14ac:dyDescent="0.5">
      <c r="A41" s="13"/>
      <c r="B41" s="13">
        <v>10</v>
      </c>
      <c r="C41" s="13"/>
      <c r="D41" s="13"/>
      <c r="E41" s="13"/>
      <c r="F41" s="26"/>
      <c r="G41" s="26"/>
      <c r="H41" s="26"/>
      <c r="I41" s="26"/>
      <c r="J41" s="26"/>
      <c r="K41" s="26"/>
      <c r="L41" s="26"/>
      <c r="M41" s="41"/>
      <c r="N41" s="26"/>
      <c r="O41" s="13"/>
      <c r="P41" s="13"/>
      <c r="Q41" s="13"/>
      <c r="R41" s="26"/>
      <c r="S41" s="26"/>
      <c r="T41" s="26"/>
      <c r="U41" s="26"/>
      <c r="V41" s="26"/>
      <c r="W41" s="26"/>
      <c r="X41" s="26"/>
      <c r="Y41" s="26"/>
      <c r="Z41" s="26"/>
      <c r="AA41" s="13"/>
      <c r="AB41" s="13"/>
      <c r="AC41" s="13"/>
      <c r="AD41" s="65"/>
      <c r="AE41" s="40"/>
      <c r="AF41" s="40"/>
      <c r="AG41" s="40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</row>
    <row r="42" spans="1:68" x14ac:dyDescent="0.45">
      <c r="A42" s="2"/>
      <c r="B42" s="2">
        <v>11</v>
      </c>
      <c r="C42" s="2"/>
      <c r="D42" s="2"/>
      <c r="E42" s="2"/>
      <c r="F42" s="25"/>
      <c r="G42" s="25"/>
      <c r="H42" s="25"/>
      <c r="I42" s="25"/>
      <c r="J42" s="25"/>
      <c r="K42" s="25"/>
      <c r="L42" s="25"/>
      <c r="M42" s="2"/>
      <c r="N42" s="25"/>
      <c r="O42" s="2"/>
      <c r="P42" s="2"/>
      <c r="Q42" s="2"/>
      <c r="R42" s="25"/>
      <c r="S42" s="25"/>
      <c r="T42" s="25"/>
      <c r="U42" s="25"/>
      <c r="V42" s="25"/>
      <c r="W42" s="25"/>
      <c r="X42" s="25"/>
      <c r="Y42" s="25"/>
      <c r="Z42" s="25"/>
      <c r="AA42" s="2"/>
      <c r="AB42" s="2"/>
      <c r="AC42" s="2"/>
      <c r="AD42" s="62"/>
      <c r="AE42" s="39"/>
      <c r="AF42" s="39"/>
      <c r="AG42" s="39"/>
    </row>
    <row r="43" spans="1:68" x14ac:dyDescent="0.45">
      <c r="A43" s="1"/>
      <c r="B43" s="1">
        <v>11</v>
      </c>
      <c r="C43" s="1"/>
      <c r="D43" s="1"/>
      <c r="E43" s="1"/>
      <c r="F43" s="28"/>
      <c r="G43" s="28"/>
      <c r="H43" s="28"/>
      <c r="I43" s="28"/>
      <c r="J43" s="28"/>
      <c r="K43" s="28"/>
      <c r="L43" s="28"/>
      <c r="M43" s="2"/>
      <c r="N43" s="28"/>
      <c r="O43" s="1"/>
      <c r="P43" s="1"/>
      <c r="Q43" s="1"/>
      <c r="R43" s="28"/>
      <c r="S43" s="28"/>
      <c r="T43" s="28"/>
      <c r="U43" s="28"/>
      <c r="V43" s="28"/>
      <c r="W43" s="28"/>
      <c r="X43" s="28"/>
      <c r="Y43" s="28"/>
      <c r="Z43" s="28"/>
      <c r="AA43" s="1"/>
      <c r="AB43" s="1"/>
      <c r="AC43" s="1"/>
      <c r="AD43" s="63"/>
      <c r="AE43" s="38"/>
      <c r="AF43" s="38"/>
      <c r="AG43" s="38"/>
    </row>
    <row r="44" spans="1:68" x14ac:dyDescent="0.45">
      <c r="A44" s="1"/>
      <c r="B44" s="1">
        <v>11</v>
      </c>
      <c r="C44" s="1"/>
      <c r="D44" s="1"/>
      <c r="E44" s="1"/>
      <c r="F44" s="28"/>
      <c r="G44" s="28"/>
      <c r="H44" s="28"/>
      <c r="I44" s="28"/>
      <c r="J44" s="28"/>
      <c r="K44" s="28"/>
      <c r="L44" s="28"/>
      <c r="M44" s="2"/>
      <c r="N44" s="28"/>
      <c r="O44" s="1"/>
      <c r="P44" s="1"/>
      <c r="Q44" s="1"/>
      <c r="R44" s="28"/>
      <c r="S44" s="28"/>
      <c r="T44" s="28"/>
      <c r="U44" s="28"/>
      <c r="V44" s="28"/>
      <c r="W44" s="28"/>
      <c r="X44" s="28"/>
      <c r="Y44" s="28"/>
      <c r="Z44" s="28"/>
      <c r="AA44" s="1"/>
      <c r="AB44" s="1"/>
      <c r="AC44" s="1"/>
      <c r="AD44" s="63"/>
      <c r="AE44" s="38"/>
      <c r="AF44" s="38"/>
      <c r="AG44" s="38"/>
    </row>
    <row r="45" spans="1:68" s="15" customFormat="1" ht="14.65" thickBot="1" x14ac:dyDescent="0.5">
      <c r="A45" s="13"/>
      <c r="B45" s="13">
        <v>11</v>
      </c>
      <c r="C45" s="13"/>
      <c r="D45" s="13"/>
      <c r="E45" s="13"/>
      <c r="F45" s="26"/>
      <c r="G45" s="26"/>
      <c r="H45" s="26"/>
      <c r="I45" s="26"/>
      <c r="J45" s="26"/>
      <c r="K45" s="26"/>
      <c r="L45" s="26"/>
      <c r="M45" s="41"/>
      <c r="N45" s="26"/>
      <c r="O45" s="13"/>
      <c r="P45" s="13"/>
      <c r="Q45" s="13"/>
      <c r="R45" s="26"/>
      <c r="S45" s="26"/>
      <c r="T45" s="26"/>
      <c r="U45" s="26"/>
      <c r="V45" s="26"/>
      <c r="W45" s="26"/>
      <c r="X45" s="26"/>
      <c r="Y45" s="26"/>
      <c r="Z45" s="26"/>
      <c r="AA45" s="13"/>
      <c r="AB45" s="13"/>
      <c r="AC45" s="13"/>
      <c r="AD45" s="65"/>
      <c r="AE45" s="40"/>
      <c r="AF45" s="40"/>
      <c r="AG45" s="40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</row>
    <row r="46" spans="1:68" x14ac:dyDescent="0.45">
      <c r="A46" s="2"/>
      <c r="B46" s="2">
        <v>12</v>
      </c>
      <c r="C46" s="2"/>
      <c r="D46" s="2"/>
      <c r="E46" s="2"/>
      <c r="F46" s="25"/>
      <c r="G46" s="25"/>
      <c r="H46" s="25"/>
      <c r="I46" s="25"/>
      <c r="J46" s="25"/>
      <c r="K46" s="25"/>
      <c r="L46" s="25"/>
      <c r="M46" s="2"/>
      <c r="N46" s="25"/>
      <c r="O46" s="2"/>
      <c r="P46" s="2"/>
      <c r="Q46" s="2"/>
      <c r="R46" s="25"/>
      <c r="S46" s="25"/>
      <c r="T46" s="25"/>
      <c r="U46" s="25"/>
      <c r="V46" s="25"/>
      <c r="W46" s="25"/>
      <c r="X46" s="25"/>
      <c r="Y46" s="25"/>
      <c r="Z46" s="25"/>
      <c r="AA46" s="2"/>
      <c r="AB46" s="2"/>
      <c r="AC46" s="2"/>
      <c r="AD46" s="62"/>
      <c r="AE46" s="39"/>
      <c r="AF46" s="39"/>
      <c r="AG46" s="39"/>
    </row>
    <row r="47" spans="1:68" x14ac:dyDescent="0.45">
      <c r="A47" s="1"/>
      <c r="B47" s="1">
        <v>12</v>
      </c>
      <c r="C47" s="1"/>
      <c r="D47" s="1"/>
      <c r="E47" s="1"/>
      <c r="F47" s="28"/>
      <c r="G47" s="28"/>
      <c r="H47" s="28"/>
      <c r="I47" s="28"/>
      <c r="J47" s="28"/>
      <c r="K47" s="28"/>
      <c r="L47" s="28"/>
      <c r="M47" s="2"/>
      <c r="N47" s="28"/>
      <c r="O47" s="1"/>
      <c r="P47" s="1"/>
      <c r="Q47" s="1"/>
      <c r="R47" s="28"/>
      <c r="S47" s="28"/>
      <c r="T47" s="28"/>
      <c r="U47" s="28"/>
      <c r="V47" s="28"/>
      <c r="W47" s="28"/>
      <c r="X47" s="28"/>
      <c r="Y47" s="28"/>
      <c r="Z47" s="28"/>
      <c r="AA47" s="1"/>
      <c r="AB47" s="1"/>
      <c r="AC47" s="1"/>
      <c r="AD47" s="63"/>
      <c r="AE47" s="38"/>
      <c r="AF47" s="38"/>
      <c r="AG47" s="38"/>
    </row>
    <row r="48" spans="1:68" x14ac:dyDescent="0.45">
      <c r="A48" s="1"/>
      <c r="B48" s="1">
        <v>12</v>
      </c>
      <c r="C48" s="1"/>
      <c r="D48" s="1"/>
      <c r="E48" s="1"/>
      <c r="F48" s="28"/>
      <c r="G48" s="28"/>
      <c r="H48" s="28"/>
      <c r="I48" s="28"/>
      <c r="J48" s="28"/>
      <c r="K48" s="28"/>
      <c r="L48" s="28"/>
      <c r="M48" s="2"/>
      <c r="N48" s="28"/>
      <c r="O48" s="1"/>
      <c r="P48" s="1"/>
      <c r="Q48" s="1"/>
      <c r="R48" s="28"/>
      <c r="S48" s="28"/>
      <c r="T48" s="28"/>
      <c r="U48" s="28"/>
      <c r="V48" s="28"/>
      <c r="W48" s="28"/>
      <c r="X48" s="28"/>
      <c r="Y48" s="28"/>
      <c r="Z48" s="28"/>
      <c r="AA48" s="1"/>
      <c r="AB48" s="1"/>
      <c r="AC48" s="1"/>
      <c r="AD48" s="63"/>
      <c r="AE48" s="38"/>
      <c r="AF48" s="38"/>
      <c r="AG48" s="38"/>
    </row>
    <row r="49" spans="1:68" s="15" customFormat="1" ht="14.65" thickBot="1" x14ac:dyDescent="0.5">
      <c r="A49" s="13"/>
      <c r="B49" s="13">
        <v>12</v>
      </c>
      <c r="C49" s="13"/>
      <c r="D49" s="13"/>
      <c r="E49" s="13"/>
      <c r="F49" s="26"/>
      <c r="G49" s="26"/>
      <c r="H49" s="26"/>
      <c r="I49" s="26"/>
      <c r="J49" s="26"/>
      <c r="K49" s="26"/>
      <c r="L49" s="26"/>
      <c r="M49" s="41"/>
      <c r="N49" s="26"/>
      <c r="O49" s="13"/>
      <c r="P49" s="13"/>
      <c r="Q49" s="13"/>
      <c r="R49" s="26"/>
      <c r="S49" s="26"/>
      <c r="T49" s="26"/>
      <c r="U49" s="26"/>
      <c r="V49" s="26"/>
      <c r="W49" s="26"/>
      <c r="X49" s="26"/>
      <c r="Y49" s="26"/>
      <c r="Z49" s="26"/>
      <c r="AA49" s="13"/>
      <c r="AB49" s="13"/>
      <c r="AC49" s="13"/>
      <c r="AD49" s="65"/>
      <c r="AE49" s="40"/>
      <c r="AF49" s="40"/>
      <c r="AG49" s="40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</row>
    <row r="50" spans="1:68" x14ac:dyDescent="0.45">
      <c r="A50" s="2"/>
      <c r="B50" s="2">
        <v>13</v>
      </c>
      <c r="C50" s="2"/>
      <c r="D50" s="2"/>
      <c r="E50" s="2"/>
      <c r="F50" s="25"/>
      <c r="G50" s="25"/>
      <c r="H50" s="25"/>
      <c r="I50" s="25"/>
      <c r="J50" s="25"/>
      <c r="K50" s="25"/>
      <c r="L50" s="25"/>
      <c r="M50" s="2"/>
      <c r="N50" s="25"/>
      <c r="O50" s="2"/>
      <c r="P50" s="2"/>
      <c r="Q50" s="2"/>
      <c r="R50" s="25"/>
      <c r="S50" s="25"/>
      <c r="T50" s="25"/>
      <c r="U50" s="25"/>
      <c r="V50" s="25"/>
      <c r="W50" s="25"/>
      <c r="X50" s="25"/>
      <c r="Y50" s="25"/>
      <c r="Z50" s="25"/>
      <c r="AA50" s="2"/>
      <c r="AB50" s="2"/>
      <c r="AC50" s="2"/>
      <c r="AD50" s="62"/>
      <c r="AE50" s="39"/>
      <c r="AF50" s="39"/>
      <c r="AG50" s="39"/>
    </row>
    <row r="51" spans="1:68" x14ac:dyDescent="0.45">
      <c r="A51" s="1"/>
      <c r="B51" s="1">
        <v>13</v>
      </c>
      <c r="C51" s="1"/>
      <c r="D51" s="1"/>
      <c r="E51" s="1"/>
      <c r="F51" s="28"/>
      <c r="G51" s="28"/>
      <c r="H51" s="28"/>
      <c r="I51" s="28"/>
      <c r="J51" s="28"/>
      <c r="K51" s="28"/>
      <c r="L51" s="28"/>
      <c r="M51" s="2"/>
      <c r="N51" s="28"/>
      <c r="O51" s="1"/>
      <c r="P51" s="1"/>
      <c r="Q51" s="1"/>
      <c r="R51" s="28"/>
      <c r="S51" s="28"/>
      <c r="T51" s="28"/>
      <c r="U51" s="28"/>
      <c r="V51" s="28"/>
      <c r="W51" s="28"/>
      <c r="X51" s="28"/>
      <c r="Y51" s="28"/>
      <c r="Z51" s="28"/>
      <c r="AA51" s="1"/>
      <c r="AB51" s="1"/>
      <c r="AC51" s="1"/>
      <c r="AD51" s="63"/>
      <c r="AE51" s="38"/>
      <c r="AF51" s="38"/>
      <c r="AG51" s="38"/>
    </row>
    <row r="52" spans="1:68" x14ac:dyDescent="0.45">
      <c r="A52" s="1"/>
      <c r="B52" s="1">
        <v>13</v>
      </c>
      <c r="C52" s="1"/>
      <c r="D52" s="1"/>
      <c r="E52" s="1"/>
      <c r="F52" s="28"/>
      <c r="G52" s="28"/>
      <c r="H52" s="28"/>
      <c r="I52" s="28"/>
      <c r="J52" s="28"/>
      <c r="K52" s="28"/>
      <c r="L52" s="28"/>
      <c r="M52" s="2"/>
      <c r="N52" s="28"/>
      <c r="O52" s="1"/>
      <c r="P52" s="1"/>
      <c r="Q52" s="1"/>
      <c r="R52" s="28"/>
      <c r="S52" s="28"/>
      <c r="T52" s="28"/>
      <c r="U52" s="28"/>
      <c r="V52" s="28"/>
      <c r="W52" s="28"/>
      <c r="X52" s="28"/>
      <c r="Y52" s="28"/>
      <c r="Z52" s="28"/>
      <c r="AA52" s="1"/>
      <c r="AB52" s="1"/>
      <c r="AC52" s="1"/>
      <c r="AD52" s="63"/>
      <c r="AE52" s="38"/>
      <c r="AF52" s="38"/>
      <c r="AG52" s="38"/>
    </row>
    <row r="53" spans="1:68" s="15" customFormat="1" ht="14.65" thickBot="1" x14ac:dyDescent="0.5">
      <c r="A53" s="13"/>
      <c r="B53" s="13">
        <v>13</v>
      </c>
      <c r="C53" s="13"/>
      <c r="D53" s="13"/>
      <c r="E53" s="13"/>
      <c r="F53" s="26"/>
      <c r="G53" s="26"/>
      <c r="H53" s="26"/>
      <c r="I53" s="26"/>
      <c r="J53" s="26"/>
      <c r="K53" s="26"/>
      <c r="L53" s="26"/>
      <c r="M53" s="41"/>
      <c r="N53" s="26"/>
      <c r="O53" s="13"/>
      <c r="P53" s="13"/>
      <c r="Q53" s="13"/>
      <c r="R53" s="26"/>
      <c r="S53" s="26"/>
      <c r="T53" s="26"/>
      <c r="U53" s="26"/>
      <c r="V53" s="26"/>
      <c r="W53" s="26"/>
      <c r="X53" s="26"/>
      <c r="Y53" s="26"/>
      <c r="Z53" s="26"/>
      <c r="AA53" s="13"/>
      <c r="AB53" s="13"/>
      <c r="AC53" s="13"/>
      <c r="AD53" s="65"/>
      <c r="AE53" s="40"/>
      <c r="AF53" s="40"/>
      <c r="AG53" s="40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</row>
    <row r="54" spans="1:68" x14ac:dyDescent="0.45">
      <c r="A54" s="2"/>
      <c r="B54" s="2">
        <v>14</v>
      </c>
      <c r="C54" s="2"/>
      <c r="D54" s="2"/>
      <c r="E54" s="2"/>
      <c r="F54" s="25"/>
      <c r="G54" s="25"/>
      <c r="H54" s="25"/>
      <c r="I54" s="25"/>
      <c r="J54" s="25"/>
      <c r="K54" s="25"/>
      <c r="L54" s="25"/>
      <c r="M54" s="2"/>
      <c r="N54" s="25"/>
      <c r="O54" s="2"/>
      <c r="P54" s="2"/>
      <c r="Q54" s="2"/>
      <c r="R54" s="25"/>
      <c r="S54" s="25"/>
      <c r="T54" s="25"/>
      <c r="U54" s="25"/>
      <c r="V54" s="25"/>
      <c r="W54" s="25"/>
      <c r="X54" s="25"/>
      <c r="Y54" s="25"/>
      <c r="Z54" s="25"/>
      <c r="AA54" s="2"/>
      <c r="AB54" s="2"/>
      <c r="AC54" s="2"/>
      <c r="AD54" s="62"/>
      <c r="AE54" s="39"/>
      <c r="AF54" s="39"/>
      <c r="AG54" s="39"/>
    </row>
    <row r="55" spans="1:68" x14ac:dyDescent="0.45">
      <c r="A55" s="1"/>
      <c r="B55" s="1">
        <v>14</v>
      </c>
      <c r="C55" s="1"/>
      <c r="D55" s="1"/>
      <c r="E55" s="1"/>
      <c r="F55" s="28"/>
      <c r="G55" s="28"/>
      <c r="H55" s="28"/>
      <c r="I55" s="28"/>
      <c r="J55" s="28"/>
      <c r="K55" s="28"/>
      <c r="L55" s="28"/>
      <c r="M55" s="2"/>
      <c r="N55" s="28"/>
      <c r="O55" s="1"/>
      <c r="P55" s="1"/>
      <c r="Q55" s="1"/>
      <c r="R55" s="28"/>
      <c r="S55" s="28"/>
      <c r="T55" s="28"/>
      <c r="U55" s="28"/>
      <c r="V55" s="28"/>
      <c r="W55" s="28"/>
      <c r="X55" s="28"/>
      <c r="Y55" s="28"/>
      <c r="Z55" s="28"/>
      <c r="AA55" s="1"/>
      <c r="AB55" s="1"/>
      <c r="AC55" s="1"/>
      <c r="AD55" s="63"/>
      <c r="AE55" s="38"/>
      <c r="AF55" s="38"/>
      <c r="AG55" s="38"/>
    </row>
    <row r="56" spans="1:68" x14ac:dyDescent="0.45">
      <c r="A56" s="1"/>
      <c r="B56" s="1">
        <v>14</v>
      </c>
      <c r="C56" s="1"/>
      <c r="D56" s="1"/>
      <c r="E56" s="1"/>
      <c r="F56" s="28"/>
      <c r="G56" s="28"/>
      <c r="H56" s="28"/>
      <c r="I56" s="28"/>
      <c r="J56" s="28"/>
      <c r="K56" s="28"/>
      <c r="L56" s="28"/>
      <c r="M56" s="2"/>
      <c r="N56" s="28"/>
      <c r="O56" s="1"/>
      <c r="P56" s="1"/>
      <c r="Q56" s="1"/>
      <c r="R56" s="28"/>
      <c r="S56" s="28"/>
      <c r="T56" s="28"/>
      <c r="U56" s="28"/>
      <c r="V56" s="28"/>
      <c r="W56" s="28"/>
      <c r="X56" s="28"/>
      <c r="Y56" s="28"/>
      <c r="Z56" s="28"/>
      <c r="AA56" s="1"/>
      <c r="AB56" s="1"/>
      <c r="AC56" s="1"/>
      <c r="AD56" s="63"/>
      <c r="AE56" s="38"/>
      <c r="AF56" s="38"/>
      <c r="AG56" s="38"/>
    </row>
    <row r="57" spans="1:68" s="15" customFormat="1" ht="14.65" thickBot="1" x14ac:dyDescent="0.5">
      <c r="A57" s="13"/>
      <c r="B57" s="13">
        <v>14</v>
      </c>
      <c r="C57" s="13"/>
      <c r="D57" s="13"/>
      <c r="E57" s="13"/>
      <c r="F57" s="26"/>
      <c r="G57" s="26"/>
      <c r="H57" s="26"/>
      <c r="I57" s="26"/>
      <c r="J57" s="26"/>
      <c r="K57" s="26"/>
      <c r="L57" s="26"/>
      <c r="M57" s="41"/>
      <c r="N57" s="26"/>
      <c r="O57" s="13"/>
      <c r="P57" s="13"/>
      <c r="Q57" s="13"/>
      <c r="R57" s="26"/>
      <c r="S57" s="26"/>
      <c r="T57" s="26"/>
      <c r="U57" s="26"/>
      <c r="V57" s="26"/>
      <c r="W57" s="26"/>
      <c r="X57" s="26"/>
      <c r="Y57" s="26"/>
      <c r="Z57" s="26"/>
      <c r="AA57" s="13"/>
      <c r="AB57" s="13"/>
      <c r="AC57" s="13"/>
      <c r="AD57" s="65"/>
      <c r="AE57" s="40"/>
      <c r="AF57" s="40"/>
      <c r="AG57" s="40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</row>
    <row r="58" spans="1:68" x14ac:dyDescent="0.45">
      <c r="A58" s="2"/>
      <c r="B58" s="2">
        <v>15</v>
      </c>
      <c r="C58" s="2"/>
      <c r="D58" s="2"/>
      <c r="E58" s="2"/>
      <c r="F58" s="25"/>
      <c r="G58" s="25"/>
      <c r="H58" s="25"/>
      <c r="I58" s="25"/>
      <c r="J58" s="25"/>
      <c r="K58" s="25"/>
      <c r="L58" s="25"/>
      <c r="M58" s="2"/>
      <c r="N58" s="25"/>
      <c r="O58" s="2"/>
      <c r="P58" s="2"/>
      <c r="Q58" s="2"/>
      <c r="R58" s="25"/>
      <c r="S58" s="25"/>
      <c r="T58" s="25"/>
      <c r="U58" s="25"/>
      <c r="V58" s="25"/>
      <c r="W58" s="25"/>
      <c r="X58" s="25"/>
      <c r="Y58" s="25"/>
      <c r="Z58" s="25"/>
      <c r="AA58" s="2"/>
      <c r="AB58" s="2"/>
      <c r="AC58" s="2"/>
      <c r="AD58" s="62"/>
      <c r="AE58" s="39"/>
      <c r="AF58" s="39"/>
      <c r="AG58" s="39"/>
    </row>
    <row r="59" spans="1:68" x14ac:dyDescent="0.45">
      <c r="A59" s="1"/>
      <c r="B59" s="1">
        <v>15</v>
      </c>
      <c r="C59" s="1"/>
      <c r="D59" s="1"/>
      <c r="E59" s="1"/>
      <c r="F59" s="28"/>
      <c r="G59" s="28"/>
      <c r="H59" s="28"/>
      <c r="I59" s="28"/>
      <c r="J59" s="28"/>
      <c r="K59" s="28"/>
      <c r="L59" s="28"/>
      <c r="M59" s="2"/>
      <c r="N59" s="28"/>
      <c r="O59" s="1"/>
      <c r="P59" s="1"/>
      <c r="Q59" s="1"/>
      <c r="R59" s="28"/>
      <c r="S59" s="28"/>
      <c r="T59" s="28"/>
      <c r="U59" s="28"/>
      <c r="V59" s="28"/>
      <c r="W59" s="28"/>
      <c r="X59" s="28"/>
      <c r="Y59" s="28"/>
      <c r="Z59" s="28"/>
      <c r="AA59" s="1"/>
      <c r="AB59" s="1"/>
      <c r="AC59" s="1"/>
      <c r="AD59" s="63"/>
      <c r="AE59" s="38"/>
      <c r="AF59" s="38"/>
      <c r="AG59" s="38"/>
    </row>
    <row r="60" spans="1:68" x14ac:dyDescent="0.45">
      <c r="A60" s="1"/>
      <c r="B60" s="1">
        <v>15</v>
      </c>
      <c r="C60" s="1"/>
      <c r="D60" s="1"/>
      <c r="E60" s="1"/>
      <c r="F60" s="28"/>
      <c r="G60" s="28"/>
      <c r="H60" s="28"/>
      <c r="I60" s="28"/>
      <c r="J60" s="28"/>
      <c r="K60" s="28"/>
      <c r="L60" s="28"/>
      <c r="M60" s="2"/>
      <c r="N60" s="28"/>
      <c r="O60" s="1"/>
      <c r="P60" s="1"/>
      <c r="Q60" s="1"/>
      <c r="R60" s="28"/>
      <c r="S60" s="28"/>
      <c r="T60" s="28"/>
      <c r="U60" s="28"/>
      <c r="V60" s="28"/>
      <c r="W60" s="28"/>
      <c r="X60" s="28"/>
      <c r="Y60" s="28"/>
      <c r="Z60" s="28"/>
      <c r="AA60" s="1"/>
      <c r="AB60" s="1"/>
      <c r="AC60" s="1"/>
      <c r="AD60" s="63"/>
      <c r="AE60" s="38"/>
      <c r="AF60" s="38"/>
      <c r="AG60" s="38"/>
    </row>
    <row r="61" spans="1:68" s="15" customFormat="1" ht="14.65" thickBot="1" x14ac:dyDescent="0.5">
      <c r="A61" s="13"/>
      <c r="B61" s="13">
        <v>15</v>
      </c>
      <c r="C61" s="13"/>
      <c r="D61" s="13"/>
      <c r="E61" s="13"/>
      <c r="F61" s="26"/>
      <c r="G61" s="26"/>
      <c r="H61" s="26"/>
      <c r="I61" s="26"/>
      <c r="J61" s="26"/>
      <c r="K61" s="26"/>
      <c r="L61" s="26"/>
      <c r="M61" s="41"/>
      <c r="N61" s="26"/>
      <c r="O61" s="13"/>
      <c r="P61" s="13"/>
      <c r="Q61" s="13"/>
      <c r="R61" s="26"/>
      <c r="S61" s="26"/>
      <c r="T61" s="26"/>
      <c r="U61" s="26"/>
      <c r="V61" s="26"/>
      <c r="W61" s="26"/>
      <c r="X61" s="26"/>
      <c r="Y61" s="26"/>
      <c r="Z61" s="26"/>
      <c r="AA61" s="13"/>
      <c r="AB61" s="13"/>
      <c r="AC61" s="13"/>
      <c r="AD61" s="65"/>
      <c r="AE61" s="40"/>
      <c r="AF61" s="40"/>
      <c r="AG61" s="40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</row>
    <row r="62" spans="1:68" x14ac:dyDescent="0.45">
      <c r="A62" s="2"/>
      <c r="B62" s="2">
        <v>16</v>
      </c>
      <c r="C62" s="2"/>
      <c r="D62" s="2"/>
      <c r="E62" s="2"/>
      <c r="F62" s="25"/>
      <c r="G62" s="25"/>
      <c r="H62" s="25"/>
      <c r="I62" s="25"/>
      <c r="J62" s="25"/>
      <c r="K62" s="25"/>
      <c r="L62" s="25"/>
      <c r="M62" s="2"/>
      <c r="N62" s="25"/>
      <c r="O62" s="2"/>
      <c r="P62" s="2"/>
      <c r="Q62" s="2"/>
      <c r="R62" s="25"/>
      <c r="S62" s="25"/>
      <c r="T62" s="25"/>
      <c r="U62" s="25"/>
      <c r="V62" s="25"/>
      <c r="W62" s="25"/>
      <c r="X62" s="25"/>
      <c r="Y62" s="25"/>
      <c r="Z62" s="25"/>
      <c r="AA62" s="2"/>
      <c r="AB62" s="2"/>
      <c r="AC62" s="2"/>
      <c r="AD62" s="62"/>
      <c r="AE62" s="39"/>
      <c r="AF62" s="39"/>
      <c r="AG62" s="39"/>
    </row>
    <row r="63" spans="1:68" x14ac:dyDescent="0.45">
      <c r="A63" s="1"/>
      <c r="B63" s="1">
        <v>16</v>
      </c>
      <c r="C63" s="1"/>
      <c r="D63" s="1"/>
      <c r="E63" s="1"/>
      <c r="F63" s="28"/>
      <c r="G63" s="28"/>
      <c r="H63" s="28"/>
      <c r="I63" s="28"/>
      <c r="J63" s="28"/>
      <c r="K63" s="28"/>
      <c r="L63" s="28"/>
      <c r="M63" s="2"/>
      <c r="N63" s="28"/>
      <c r="O63" s="1"/>
      <c r="P63" s="1"/>
      <c r="Q63" s="1"/>
      <c r="R63" s="28"/>
      <c r="S63" s="28"/>
      <c r="T63" s="28"/>
      <c r="U63" s="28"/>
      <c r="V63" s="28"/>
      <c r="W63" s="28"/>
      <c r="X63" s="28"/>
      <c r="Y63" s="28"/>
      <c r="Z63" s="28"/>
      <c r="AA63" s="1"/>
      <c r="AB63" s="1"/>
      <c r="AC63" s="1"/>
      <c r="AD63" s="63"/>
      <c r="AE63" s="38"/>
      <c r="AF63" s="38"/>
      <c r="AG63" s="38"/>
    </row>
    <row r="64" spans="1:68" x14ac:dyDescent="0.45">
      <c r="A64" s="1"/>
      <c r="B64" s="1">
        <v>16</v>
      </c>
      <c r="C64" s="1"/>
      <c r="D64" s="1"/>
      <c r="E64" s="1"/>
      <c r="F64" s="28"/>
      <c r="G64" s="28"/>
      <c r="H64" s="28"/>
      <c r="I64" s="28"/>
      <c r="J64" s="28"/>
      <c r="K64" s="28"/>
      <c r="L64" s="28"/>
      <c r="M64" s="2"/>
      <c r="N64" s="28"/>
      <c r="O64" s="1"/>
      <c r="P64" s="1"/>
      <c r="Q64" s="1"/>
      <c r="R64" s="28"/>
      <c r="S64" s="28"/>
      <c r="T64" s="28"/>
      <c r="U64" s="28"/>
      <c r="V64" s="28"/>
      <c r="W64" s="28"/>
      <c r="X64" s="28"/>
      <c r="Y64" s="28"/>
      <c r="Z64" s="28"/>
      <c r="AA64" s="1"/>
      <c r="AB64" s="1"/>
      <c r="AC64" s="1"/>
      <c r="AD64" s="63"/>
      <c r="AE64" s="38"/>
      <c r="AF64" s="38"/>
      <c r="AG64" s="38"/>
    </row>
    <row r="65" spans="1:68" s="15" customFormat="1" ht="14.65" thickBot="1" x14ac:dyDescent="0.5">
      <c r="A65" s="13"/>
      <c r="B65" s="13">
        <v>16</v>
      </c>
      <c r="C65" s="13"/>
      <c r="D65" s="13"/>
      <c r="E65" s="13"/>
      <c r="F65" s="26"/>
      <c r="G65" s="26"/>
      <c r="H65" s="26"/>
      <c r="I65" s="26"/>
      <c r="J65" s="26"/>
      <c r="K65" s="26"/>
      <c r="L65" s="26"/>
      <c r="M65" s="41"/>
      <c r="N65" s="26"/>
      <c r="O65" s="13"/>
      <c r="P65" s="13"/>
      <c r="Q65" s="13"/>
      <c r="R65" s="26"/>
      <c r="S65" s="26"/>
      <c r="T65" s="26"/>
      <c r="U65" s="26"/>
      <c r="V65" s="26"/>
      <c r="W65" s="26"/>
      <c r="X65" s="26"/>
      <c r="Y65" s="26"/>
      <c r="Z65" s="26"/>
      <c r="AA65" s="13"/>
      <c r="AB65" s="13"/>
      <c r="AC65" s="13"/>
      <c r="AD65" s="65"/>
      <c r="AE65" s="40"/>
      <c r="AF65" s="40"/>
      <c r="AG65" s="40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</row>
    <row r="66" spans="1:68" ht="18" x14ac:dyDescent="0.55000000000000004">
      <c r="A66" s="16" t="s">
        <v>98</v>
      </c>
      <c r="B66" s="30"/>
      <c r="C66" s="16" t="e">
        <f t="shared" ref="C66:Z66" si="0">AVERAGE(C2:C65)</f>
        <v>#DIV/0!</v>
      </c>
      <c r="D66" s="16" t="e">
        <f t="shared" si="0"/>
        <v>#DIV/0!</v>
      </c>
      <c r="E66" s="16" t="e">
        <f t="shared" si="0"/>
        <v>#DIV/0!</v>
      </c>
      <c r="F66" s="27" t="e">
        <f t="shared" si="0"/>
        <v>#DIV/0!</v>
      </c>
      <c r="G66" s="27" t="e">
        <f t="shared" si="0"/>
        <v>#DIV/0!</v>
      </c>
      <c r="H66" s="27" t="e">
        <f t="shared" si="0"/>
        <v>#DIV/0!</v>
      </c>
      <c r="I66" s="27" t="e">
        <f t="shared" si="0"/>
        <v>#DIV/0!</v>
      </c>
      <c r="J66" s="27" t="e">
        <f t="shared" si="0"/>
        <v>#DIV/0!</v>
      </c>
      <c r="K66" s="27" t="e">
        <f t="shared" si="0"/>
        <v>#DIV/0!</v>
      </c>
      <c r="L66" s="27" t="e">
        <f t="shared" si="0"/>
        <v>#DIV/0!</v>
      </c>
      <c r="M66" s="16" t="e">
        <f>AVERAGE(M2:M65)</f>
        <v>#DIV/0!</v>
      </c>
      <c r="N66" s="27" t="e">
        <f t="shared" si="0"/>
        <v>#DIV/0!</v>
      </c>
      <c r="O66" s="16" t="e">
        <f t="shared" si="0"/>
        <v>#DIV/0!</v>
      </c>
      <c r="P66" s="16" t="e">
        <f t="shared" si="0"/>
        <v>#DIV/0!</v>
      </c>
      <c r="Q66" s="16" t="e">
        <f t="shared" si="0"/>
        <v>#DIV/0!</v>
      </c>
      <c r="R66" s="27" t="e">
        <f t="shared" si="0"/>
        <v>#DIV/0!</v>
      </c>
      <c r="S66" s="27" t="e">
        <f t="shared" si="0"/>
        <v>#DIV/0!</v>
      </c>
      <c r="T66" s="27" t="e">
        <f t="shared" si="0"/>
        <v>#DIV/0!</v>
      </c>
      <c r="U66" s="27" t="e">
        <f t="shared" si="0"/>
        <v>#DIV/0!</v>
      </c>
      <c r="V66" s="27" t="e">
        <f t="shared" si="0"/>
        <v>#DIV/0!</v>
      </c>
      <c r="W66" s="27" t="e">
        <f t="shared" si="0"/>
        <v>#DIV/0!</v>
      </c>
      <c r="X66" s="27" t="e">
        <f t="shared" si="0"/>
        <v>#DIV/0!</v>
      </c>
      <c r="Y66" s="27" t="e">
        <f t="shared" si="0"/>
        <v>#DIV/0!</v>
      </c>
      <c r="Z66" s="27" t="e">
        <f t="shared" si="0"/>
        <v>#DIV/0!</v>
      </c>
      <c r="AA66" s="16" t="e">
        <f>AVERAGE(AA2:AA65)</f>
        <v>#DIV/0!</v>
      </c>
      <c r="AB66" s="16" t="e">
        <f>AVERAGE(AB2:AB65)</f>
        <v>#DIV/0!</v>
      </c>
      <c r="AC66" s="16" t="e">
        <f>AVERAGE(AC2:AC65)</f>
        <v>#DIV/0!</v>
      </c>
      <c r="AD66" s="66" t="e">
        <f>AVERAGE(AD2:AD65)</f>
        <v>#DIV/0!</v>
      </c>
      <c r="AE66" s="93"/>
      <c r="AF66" s="94"/>
      <c r="AG66" s="95"/>
    </row>
    <row r="67" spans="1:68" x14ac:dyDescent="0.45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</row>
    <row r="68" spans="1:68" ht="14.65" thickBot="1" x14ac:dyDescent="0.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68" ht="15" customHeight="1" x14ac:dyDescent="0.45">
      <c r="A69" s="96" t="s">
        <v>94</v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8"/>
    </row>
    <row r="70" spans="1:68" ht="15" customHeight="1" thickBot="1" x14ac:dyDescent="0.5">
      <c r="A70" s="99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1"/>
    </row>
    <row r="71" spans="1:68" x14ac:dyDescent="0.45">
      <c r="A71" s="2"/>
      <c r="B71" s="2">
        <v>1</v>
      </c>
      <c r="C71" s="2"/>
      <c r="D71" s="2"/>
      <c r="E71" s="2"/>
      <c r="F71" s="25"/>
      <c r="G71" s="25"/>
      <c r="H71" s="25"/>
      <c r="I71" s="25"/>
      <c r="J71" s="25"/>
      <c r="K71" s="25"/>
      <c r="L71" s="25"/>
      <c r="M71" s="2"/>
      <c r="N71" s="25"/>
      <c r="O71" s="2"/>
      <c r="P71" s="2"/>
      <c r="Q71" s="2"/>
      <c r="R71" s="25"/>
      <c r="S71" s="25"/>
      <c r="T71" s="25"/>
      <c r="U71" s="25"/>
      <c r="V71" s="25"/>
      <c r="W71" s="25"/>
      <c r="X71" s="25"/>
      <c r="Y71" s="25"/>
      <c r="Z71" s="25"/>
      <c r="AA71" s="2"/>
      <c r="AB71" s="2"/>
      <c r="AC71" s="52"/>
      <c r="AD71" s="62"/>
      <c r="AE71" s="39"/>
      <c r="AF71" s="39"/>
      <c r="AG71" s="39"/>
    </row>
    <row r="72" spans="1:68" x14ac:dyDescent="0.45">
      <c r="A72" s="1"/>
      <c r="B72" s="1">
        <v>16</v>
      </c>
      <c r="C72" s="1"/>
      <c r="D72" s="1"/>
      <c r="E72" s="1"/>
      <c r="F72" s="28"/>
      <c r="G72" s="28"/>
      <c r="H72" s="28"/>
      <c r="I72" s="28"/>
      <c r="J72" s="28"/>
      <c r="K72" s="28"/>
      <c r="L72" s="28"/>
      <c r="M72" s="2"/>
      <c r="N72" s="28"/>
      <c r="O72" s="1"/>
      <c r="P72" s="1"/>
      <c r="Q72" s="1"/>
      <c r="R72" s="28"/>
      <c r="S72" s="28"/>
      <c r="T72" s="28"/>
      <c r="U72" s="28"/>
      <c r="V72" s="28"/>
      <c r="W72" s="28"/>
      <c r="X72" s="28"/>
      <c r="Y72" s="28"/>
      <c r="Z72" s="28"/>
      <c r="AA72" s="1"/>
      <c r="AB72" s="1"/>
      <c r="AC72" s="42"/>
      <c r="AD72" s="63"/>
      <c r="AE72" s="38"/>
      <c r="AF72" s="38"/>
      <c r="AG72" s="38"/>
    </row>
    <row r="73" spans="1:68" x14ac:dyDescent="0.4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92"/>
    </row>
    <row r="74" spans="1:68" x14ac:dyDescent="0.45">
      <c r="A74" s="1"/>
      <c r="B74" s="1">
        <v>1</v>
      </c>
      <c r="C74" s="1"/>
      <c r="D74" s="7"/>
      <c r="E74" s="1"/>
      <c r="F74" s="10"/>
      <c r="G74" s="28"/>
      <c r="H74" s="10"/>
      <c r="I74" s="28"/>
      <c r="J74" s="12"/>
      <c r="K74" s="12"/>
      <c r="L74" s="28"/>
      <c r="M74" s="2"/>
      <c r="N74" s="12"/>
      <c r="O74" s="7"/>
      <c r="P74" s="7"/>
      <c r="Q74" s="7"/>
      <c r="R74" s="28"/>
      <c r="S74" s="12"/>
      <c r="T74" s="12"/>
      <c r="U74" s="28"/>
      <c r="V74" s="10"/>
      <c r="W74" s="12"/>
      <c r="X74" s="10"/>
      <c r="Y74" s="28"/>
      <c r="Z74" s="12"/>
      <c r="AA74" s="7"/>
      <c r="AB74" s="7"/>
      <c r="AC74" s="43"/>
      <c r="AD74" s="63"/>
      <c r="AE74" s="38"/>
      <c r="AF74" s="38"/>
      <c r="AG74" s="38"/>
    </row>
    <row r="75" spans="1:68" x14ac:dyDescent="0.45">
      <c r="A75" s="1"/>
      <c r="B75" s="1">
        <v>16</v>
      </c>
      <c r="C75" s="1"/>
      <c r="D75" s="1"/>
      <c r="E75" s="1"/>
      <c r="F75" s="28"/>
      <c r="G75" s="28"/>
      <c r="H75" s="28"/>
      <c r="I75" s="28"/>
      <c r="J75" s="28"/>
      <c r="K75" s="28"/>
      <c r="L75" s="28"/>
      <c r="M75" s="2"/>
      <c r="N75" s="28"/>
      <c r="O75" s="1"/>
      <c r="P75" s="1"/>
      <c r="Q75" s="1"/>
      <c r="R75" s="28"/>
      <c r="S75" s="28"/>
      <c r="T75" s="28"/>
      <c r="U75" s="28"/>
      <c r="V75" s="28"/>
      <c r="W75" s="28"/>
      <c r="X75" s="28"/>
      <c r="Y75" s="28"/>
      <c r="Z75" s="28"/>
      <c r="AA75" s="1"/>
      <c r="AB75" s="1"/>
      <c r="AC75" s="42"/>
      <c r="AD75" s="63"/>
      <c r="AE75" s="38"/>
      <c r="AF75" s="38"/>
      <c r="AG75" s="38"/>
    </row>
    <row r="76" spans="1:68" x14ac:dyDescent="0.4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92"/>
    </row>
    <row r="77" spans="1:68" x14ac:dyDescent="0.45">
      <c r="A77" s="1"/>
      <c r="B77" s="1">
        <v>1</v>
      </c>
      <c r="C77" s="7"/>
      <c r="D77" s="7"/>
      <c r="E77" s="7"/>
      <c r="F77" s="12"/>
      <c r="G77" s="12"/>
      <c r="H77" s="12"/>
      <c r="I77" s="12"/>
      <c r="J77" s="12"/>
      <c r="K77" s="12"/>
      <c r="L77" s="12"/>
      <c r="M77" s="1"/>
      <c r="N77" s="12"/>
      <c r="O77" s="1"/>
      <c r="P77" s="7"/>
      <c r="Q77" s="7"/>
      <c r="R77" s="12"/>
      <c r="S77" s="28"/>
      <c r="T77" s="12"/>
      <c r="U77" s="12"/>
      <c r="V77" s="12"/>
      <c r="W77" s="12"/>
      <c r="X77" s="12"/>
      <c r="Y77" s="12"/>
      <c r="Z77" s="12"/>
      <c r="AA77" s="7"/>
      <c r="AB77" s="7"/>
      <c r="AC77" s="43"/>
      <c r="AD77" s="63"/>
      <c r="AE77" s="38"/>
      <c r="AF77" s="38"/>
      <c r="AG77" s="38"/>
    </row>
    <row r="78" spans="1:68" x14ac:dyDescent="0.45">
      <c r="A78" s="1"/>
      <c r="B78" s="1">
        <v>16</v>
      </c>
      <c r="C78" s="1"/>
      <c r="D78" s="1"/>
      <c r="E78" s="1"/>
      <c r="F78" s="28"/>
      <c r="G78" s="28"/>
      <c r="H78" s="28"/>
      <c r="I78" s="28"/>
      <c r="J78" s="28"/>
      <c r="K78" s="28"/>
      <c r="L78" s="28"/>
      <c r="M78" s="1"/>
      <c r="N78" s="28"/>
      <c r="O78" s="1"/>
      <c r="P78" s="1"/>
      <c r="Q78" s="1"/>
      <c r="R78" s="28"/>
      <c r="S78" s="28"/>
      <c r="T78" s="28"/>
      <c r="U78" s="28"/>
      <c r="V78" s="28"/>
      <c r="W78" s="28"/>
      <c r="X78" s="28"/>
      <c r="Y78" s="28"/>
      <c r="Z78" s="28"/>
      <c r="AA78" s="1"/>
      <c r="AB78" s="1"/>
      <c r="AC78" s="42"/>
      <c r="AD78" s="63"/>
      <c r="AE78" s="38"/>
      <c r="AF78" s="38"/>
      <c r="AG78" s="38"/>
    </row>
    <row r="79" spans="1:68" x14ac:dyDescent="0.4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</row>
    <row r="80" spans="1:68" x14ac:dyDescent="0.45">
      <c r="A80" s="1"/>
      <c r="B80" s="1">
        <v>1</v>
      </c>
      <c r="C80" s="5"/>
      <c r="D80" s="7"/>
      <c r="E80" s="7"/>
      <c r="F80" s="25"/>
      <c r="G80" s="25"/>
      <c r="H80" s="28"/>
      <c r="I80" s="25"/>
      <c r="J80" s="24"/>
      <c r="K80" s="24"/>
      <c r="L80" s="24"/>
      <c r="M80" s="2"/>
      <c r="N80" s="28"/>
      <c r="O80" s="5"/>
      <c r="P80" s="2"/>
      <c r="Q80" s="2"/>
      <c r="R80" s="25"/>
      <c r="S80" s="12"/>
      <c r="T80" s="28"/>
      <c r="U80" s="12"/>
      <c r="V80" s="25"/>
      <c r="W80" s="28"/>
      <c r="X80" s="25"/>
      <c r="Y80" s="25"/>
      <c r="Z80" s="28"/>
      <c r="AA80" s="5"/>
      <c r="AB80" s="5"/>
      <c r="AC80" s="42"/>
      <c r="AD80" s="63"/>
      <c r="AE80" s="38"/>
      <c r="AF80" s="38"/>
      <c r="AG80" s="38"/>
    </row>
    <row r="81" spans="1:33" ht="14.65" thickBot="1" x14ac:dyDescent="0.5">
      <c r="A81" s="1"/>
      <c r="B81" s="1">
        <v>16</v>
      </c>
      <c r="C81" s="1"/>
      <c r="D81" s="1"/>
      <c r="E81" s="1"/>
      <c r="F81" s="28"/>
      <c r="G81" s="28"/>
      <c r="H81" s="28"/>
      <c r="I81" s="28"/>
      <c r="J81" s="28"/>
      <c r="K81" s="28"/>
      <c r="L81" s="28"/>
      <c r="M81" s="41"/>
      <c r="N81" s="28"/>
      <c r="O81" s="1"/>
      <c r="P81" s="1"/>
      <c r="Q81" s="1"/>
      <c r="R81" s="28"/>
      <c r="S81" s="28"/>
      <c r="T81" s="28"/>
      <c r="U81" s="28"/>
      <c r="V81" s="28"/>
      <c r="W81" s="28"/>
      <c r="X81" s="28"/>
      <c r="Y81" s="28"/>
      <c r="Z81" s="28"/>
      <c r="AA81" s="1"/>
      <c r="AB81" s="1"/>
      <c r="AC81" s="42"/>
      <c r="AD81" s="63"/>
      <c r="AE81" s="38"/>
      <c r="AF81" s="38"/>
      <c r="AG81" s="38"/>
    </row>
    <row r="82" spans="1:33" x14ac:dyDescent="0.4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</row>
    <row r="83" spans="1:33" x14ac:dyDescent="0.45">
      <c r="A83" s="1"/>
      <c r="B83" s="1">
        <v>2</v>
      </c>
      <c r="C83" s="1"/>
      <c r="D83" s="1"/>
      <c r="E83" s="1"/>
      <c r="F83" s="28"/>
      <c r="G83" s="28"/>
      <c r="H83" s="28"/>
      <c r="I83" s="28"/>
      <c r="J83" s="28"/>
      <c r="K83" s="28"/>
      <c r="L83" s="28"/>
      <c r="M83" s="2"/>
      <c r="N83" s="28"/>
      <c r="O83" s="1"/>
      <c r="P83" s="1"/>
      <c r="Q83" s="1"/>
      <c r="R83" s="28"/>
      <c r="S83" s="28"/>
      <c r="T83" s="28"/>
      <c r="U83" s="28"/>
      <c r="V83" s="28"/>
      <c r="W83" s="28"/>
      <c r="X83" s="28"/>
      <c r="Y83" s="28"/>
      <c r="Z83" s="28"/>
      <c r="AA83" s="1"/>
      <c r="AB83" s="1"/>
      <c r="AC83" s="42"/>
      <c r="AD83" s="63"/>
      <c r="AE83" s="38"/>
      <c r="AF83" s="38"/>
      <c r="AG83" s="38"/>
    </row>
    <row r="84" spans="1:33" ht="14.65" thickBot="1" x14ac:dyDescent="0.5">
      <c r="A84" s="1"/>
      <c r="B84" s="1">
        <v>15</v>
      </c>
      <c r="C84" s="1"/>
      <c r="D84" s="1"/>
      <c r="E84" s="1"/>
      <c r="F84" s="28"/>
      <c r="G84" s="28"/>
      <c r="H84" s="28"/>
      <c r="I84" s="28"/>
      <c r="J84" s="28"/>
      <c r="K84" s="28"/>
      <c r="L84" s="28"/>
      <c r="M84" s="41"/>
      <c r="N84" s="28"/>
      <c r="O84" s="1"/>
      <c r="P84" s="1"/>
      <c r="Q84" s="1"/>
      <c r="R84" s="28"/>
      <c r="S84" s="28"/>
      <c r="T84" s="28"/>
      <c r="U84" s="28"/>
      <c r="V84" s="28"/>
      <c r="W84" s="28"/>
      <c r="X84" s="28"/>
      <c r="Y84" s="28"/>
      <c r="Z84" s="28"/>
      <c r="AA84" s="1"/>
      <c r="AB84" s="1"/>
      <c r="AC84" s="42"/>
      <c r="AD84" s="63"/>
      <c r="AE84" s="38"/>
      <c r="AF84" s="38"/>
      <c r="AG84" s="38"/>
    </row>
    <row r="85" spans="1:33" x14ac:dyDescent="0.4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</row>
    <row r="86" spans="1:33" x14ac:dyDescent="0.45">
      <c r="A86" s="1"/>
      <c r="B86" s="1">
        <v>2</v>
      </c>
      <c r="C86" s="1"/>
      <c r="D86" s="1"/>
      <c r="E86" s="1"/>
      <c r="F86" s="28"/>
      <c r="G86" s="28"/>
      <c r="H86" s="28"/>
      <c r="I86" s="28"/>
      <c r="J86" s="28"/>
      <c r="K86" s="28"/>
      <c r="L86" s="28"/>
      <c r="M86" s="2"/>
      <c r="N86" s="28"/>
      <c r="O86" s="1"/>
      <c r="P86" s="1"/>
      <c r="Q86" s="1"/>
      <c r="R86" s="28"/>
      <c r="S86" s="28"/>
      <c r="T86" s="28"/>
      <c r="U86" s="28"/>
      <c r="V86" s="28"/>
      <c r="W86" s="28"/>
      <c r="X86" s="28"/>
      <c r="Y86" s="28"/>
      <c r="Z86" s="28"/>
      <c r="AA86" s="1"/>
      <c r="AB86" s="1"/>
      <c r="AC86" s="42"/>
      <c r="AD86" s="63"/>
      <c r="AE86" s="38"/>
      <c r="AF86" s="38"/>
      <c r="AG86" s="38"/>
    </row>
    <row r="87" spans="1:33" x14ac:dyDescent="0.45">
      <c r="A87" s="1"/>
      <c r="B87" s="1">
        <v>15</v>
      </c>
      <c r="C87" s="1"/>
      <c r="D87" s="1"/>
      <c r="E87" s="1"/>
      <c r="F87" s="28"/>
      <c r="G87" s="28"/>
      <c r="H87" s="28"/>
      <c r="I87" s="28"/>
      <c r="J87" s="28"/>
      <c r="K87" s="28"/>
      <c r="L87" s="28"/>
      <c r="M87" s="2"/>
      <c r="N87" s="28"/>
      <c r="O87" s="1"/>
      <c r="P87" s="1"/>
      <c r="Q87" s="1"/>
      <c r="R87" s="28"/>
      <c r="S87" s="28"/>
      <c r="T87" s="28"/>
      <c r="U87" s="28"/>
      <c r="V87" s="28"/>
      <c r="W87" s="28"/>
      <c r="X87" s="28"/>
      <c r="Y87" s="28"/>
      <c r="Z87" s="28"/>
      <c r="AA87" s="1"/>
      <c r="AB87" s="1"/>
      <c r="AC87" s="42"/>
      <c r="AD87" s="63"/>
      <c r="AE87" s="38"/>
      <c r="AF87" s="38"/>
      <c r="AG87" s="38"/>
    </row>
    <row r="88" spans="1:33" x14ac:dyDescent="0.4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</row>
    <row r="89" spans="1:33" ht="14.65" thickBot="1" x14ac:dyDescent="0.5">
      <c r="A89" s="1"/>
      <c r="B89" s="1">
        <v>2</v>
      </c>
      <c r="C89" s="1"/>
      <c r="D89" s="1"/>
      <c r="E89" s="1"/>
      <c r="F89" s="28"/>
      <c r="G89" s="28"/>
      <c r="H89" s="28"/>
      <c r="I89" s="28"/>
      <c r="J89" s="28"/>
      <c r="K89" s="28"/>
      <c r="L89" s="28"/>
      <c r="M89" s="41"/>
      <c r="N89" s="28"/>
      <c r="O89" s="1"/>
      <c r="P89" s="1"/>
      <c r="Q89" s="1"/>
      <c r="R89" s="28"/>
      <c r="S89" s="28"/>
      <c r="T89" s="28"/>
      <c r="U89" s="28"/>
      <c r="V89" s="28"/>
      <c r="W89" s="28"/>
      <c r="X89" s="28"/>
      <c r="Y89" s="28"/>
      <c r="Z89" s="28"/>
      <c r="AA89" s="1"/>
      <c r="AB89" s="1"/>
      <c r="AC89" s="42"/>
      <c r="AD89" s="63"/>
      <c r="AE89" s="38"/>
      <c r="AF89" s="38"/>
      <c r="AG89" s="38"/>
    </row>
    <row r="90" spans="1:33" x14ac:dyDescent="0.45">
      <c r="A90" s="1"/>
      <c r="B90" s="1">
        <v>15</v>
      </c>
      <c r="C90" s="1"/>
      <c r="D90" s="1"/>
      <c r="E90" s="1"/>
      <c r="F90" s="28"/>
      <c r="G90" s="28"/>
      <c r="H90" s="28"/>
      <c r="I90" s="28"/>
      <c r="J90" s="28"/>
      <c r="K90" s="28"/>
      <c r="L90" s="28"/>
      <c r="M90" s="2"/>
      <c r="N90" s="28"/>
      <c r="O90" s="1"/>
      <c r="P90" s="1"/>
      <c r="Q90" s="1"/>
      <c r="R90" s="28"/>
      <c r="S90" s="28"/>
      <c r="T90" s="28"/>
      <c r="U90" s="28"/>
      <c r="V90" s="28"/>
      <c r="W90" s="28"/>
      <c r="X90" s="28"/>
      <c r="Y90" s="28"/>
      <c r="Z90" s="28"/>
      <c r="AA90" s="1"/>
      <c r="AB90" s="1"/>
      <c r="AC90" s="42"/>
      <c r="AD90" s="63"/>
      <c r="AE90" s="38"/>
      <c r="AF90" s="38"/>
      <c r="AG90" s="38"/>
    </row>
    <row r="91" spans="1:33" x14ac:dyDescent="0.4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</row>
    <row r="92" spans="1:33" x14ac:dyDescent="0.45">
      <c r="A92" s="1"/>
      <c r="B92" s="1">
        <v>2</v>
      </c>
      <c r="C92" s="1"/>
      <c r="D92" s="1"/>
      <c r="E92" s="1"/>
      <c r="F92" s="28"/>
      <c r="G92" s="28"/>
      <c r="H92" s="28"/>
      <c r="I92" s="28"/>
      <c r="J92" s="28"/>
      <c r="K92" s="28"/>
      <c r="L92" s="28"/>
      <c r="M92" s="2"/>
      <c r="N92" s="28"/>
      <c r="O92" s="1"/>
      <c r="P92" s="1"/>
      <c r="Q92" s="1"/>
      <c r="R92" s="28"/>
      <c r="S92" s="28"/>
      <c r="T92" s="28"/>
      <c r="U92" s="28"/>
      <c r="V92" s="28"/>
      <c r="W92" s="28"/>
      <c r="X92" s="28"/>
      <c r="Y92" s="28"/>
      <c r="Z92" s="28"/>
      <c r="AA92" s="1"/>
      <c r="AB92" s="1"/>
      <c r="AC92" s="42"/>
      <c r="AD92" s="63"/>
      <c r="AE92" s="38"/>
      <c r="AF92" s="38"/>
      <c r="AG92" s="38"/>
    </row>
    <row r="93" spans="1:33" x14ac:dyDescent="0.45">
      <c r="A93" s="1"/>
      <c r="B93" s="1">
        <v>15</v>
      </c>
      <c r="C93" s="1"/>
      <c r="D93" s="1"/>
      <c r="E93" s="1"/>
      <c r="F93" s="28"/>
      <c r="G93" s="28"/>
      <c r="H93" s="28"/>
      <c r="I93" s="28"/>
      <c r="J93" s="28"/>
      <c r="K93" s="28"/>
      <c r="L93" s="28"/>
      <c r="M93" s="2"/>
      <c r="N93" s="28"/>
      <c r="O93" s="1"/>
      <c r="P93" s="1"/>
      <c r="Q93" s="1"/>
      <c r="R93" s="28"/>
      <c r="S93" s="28"/>
      <c r="T93" s="28"/>
      <c r="U93" s="28"/>
      <c r="V93" s="28"/>
      <c r="W93" s="28"/>
      <c r="X93" s="28"/>
      <c r="Y93" s="28"/>
      <c r="Z93" s="28"/>
      <c r="AA93" s="1"/>
      <c r="AB93" s="1"/>
      <c r="AC93" s="42"/>
      <c r="AD93" s="63"/>
      <c r="AE93" s="38"/>
      <c r="AF93" s="38"/>
      <c r="AG93" s="38"/>
    </row>
    <row r="94" spans="1:33" x14ac:dyDescent="0.4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</row>
    <row r="95" spans="1:33" x14ac:dyDescent="0.45">
      <c r="A95" s="1"/>
      <c r="B95" s="1">
        <v>3</v>
      </c>
      <c r="C95" s="1"/>
      <c r="D95" s="1"/>
      <c r="E95" s="1"/>
      <c r="F95" s="28"/>
      <c r="G95" s="28"/>
      <c r="H95" s="28"/>
      <c r="I95" s="28"/>
      <c r="J95" s="28"/>
      <c r="K95" s="28"/>
      <c r="L95" s="28"/>
      <c r="M95" s="2"/>
      <c r="N95" s="28"/>
      <c r="O95" s="1"/>
      <c r="P95" s="1"/>
      <c r="Q95" s="1"/>
      <c r="R95" s="28"/>
      <c r="S95" s="28"/>
      <c r="T95" s="28"/>
      <c r="U95" s="28"/>
      <c r="V95" s="28"/>
      <c r="W95" s="28"/>
      <c r="X95" s="28"/>
      <c r="Y95" s="28"/>
      <c r="Z95" s="28"/>
      <c r="AA95" s="1"/>
      <c r="AB95" s="1"/>
      <c r="AC95" s="42"/>
      <c r="AD95" s="63"/>
      <c r="AE95" s="38"/>
      <c r="AF95" s="38"/>
      <c r="AG95" s="38"/>
    </row>
    <row r="96" spans="1:33" ht="14.65" thickBot="1" x14ac:dyDescent="0.5">
      <c r="A96" s="1"/>
      <c r="B96" s="1">
        <v>14</v>
      </c>
      <c r="C96" s="1"/>
      <c r="D96" s="1"/>
      <c r="E96" s="1"/>
      <c r="F96" s="28"/>
      <c r="G96" s="28"/>
      <c r="H96" s="28"/>
      <c r="I96" s="28"/>
      <c r="J96" s="28"/>
      <c r="K96" s="28"/>
      <c r="L96" s="28"/>
      <c r="M96" s="41"/>
      <c r="N96" s="28"/>
      <c r="O96" s="1"/>
      <c r="P96" s="1"/>
      <c r="Q96" s="1"/>
      <c r="R96" s="28"/>
      <c r="S96" s="28"/>
      <c r="T96" s="28"/>
      <c r="U96" s="28"/>
      <c r="V96" s="28"/>
      <c r="W96" s="28"/>
      <c r="X96" s="28"/>
      <c r="Y96" s="28"/>
      <c r="Z96" s="28"/>
      <c r="AA96" s="1"/>
      <c r="AB96" s="1"/>
      <c r="AC96" s="42"/>
      <c r="AD96" s="63"/>
      <c r="AE96" s="38"/>
      <c r="AF96" s="38"/>
      <c r="AG96" s="38"/>
    </row>
    <row r="97" spans="1:33" x14ac:dyDescent="0.4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</row>
    <row r="98" spans="1:33" x14ac:dyDescent="0.45">
      <c r="A98" s="1"/>
      <c r="B98" s="1">
        <v>3</v>
      </c>
      <c r="C98" s="1"/>
      <c r="D98" s="1"/>
      <c r="E98" s="1"/>
      <c r="F98" s="28"/>
      <c r="G98" s="28"/>
      <c r="H98" s="28"/>
      <c r="I98" s="28"/>
      <c r="J98" s="28"/>
      <c r="K98" s="28"/>
      <c r="L98" s="28"/>
      <c r="M98" s="2"/>
      <c r="N98" s="28"/>
      <c r="O98" s="1"/>
      <c r="P98" s="1"/>
      <c r="Q98" s="1"/>
      <c r="R98" s="28"/>
      <c r="S98" s="28"/>
      <c r="T98" s="28"/>
      <c r="U98" s="28"/>
      <c r="V98" s="28"/>
      <c r="W98" s="28"/>
      <c r="X98" s="28"/>
      <c r="Y98" s="28"/>
      <c r="Z98" s="28"/>
      <c r="AA98" s="1"/>
      <c r="AB98" s="1"/>
      <c r="AC98" s="42"/>
      <c r="AD98" s="63"/>
      <c r="AE98" s="38"/>
      <c r="AF98" s="38"/>
      <c r="AG98" s="38"/>
    </row>
    <row r="99" spans="1:33" x14ac:dyDescent="0.45">
      <c r="A99" s="1"/>
      <c r="B99" s="1">
        <v>14</v>
      </c>
      <c r="C99" s="1"/>
      <c r="D99" s="1"/>
      <c r="E99" s="1"/>
      <c r="F99" s="28"/>
      <c r="G99" s="28"/>
      <c r="H99" s="28"/>
      <c r="I99" s="28"/>
      <c r="J99" s="28"/>
      <c r="K99" s="28"/>
      <c r="L99" s="28"/>
      <c r="M99" s="2"/>
      <c r="N99" s="28"/>
      <c r="O99" s="1"/>
      <c r="P99" s="1"/>
      <c r="Q99" s="1"/>
      <c r="R99" s="28"/>
      <c r="S99" s="28"/>
      <c r="T99" s="28"/>
      <c r="U99" s="28"/>
      <c r="V99" s="28"/>
      <c r="W99" s="28"/>
      <c r="X99" s="28"/>
      <c r="Y99" s="28"/>
      <c r="Z99" s="28"/>
      <c r="AA99" s="1"/>
      <c r="AB99" s="1"/>
      <c r="AC99" s="42"/>
      <c r="AD99" s="63"/>
      <c r="AE99" s="38"/>
      <c r="AF99" s="38"/>
      <c r="AG99" s="38"/>
    </row>
    <row r="100" spans="1:33" x14ac:dyDescent="0.4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</row>
    <row r="101" spans="1:33" x14ac:dyDescent="0.45">
      <c r="A101" s="1"/>
      <c r="B101" s="1">
        <v>3</v>
      </c>
      <c r="C101" s="1"/>
      <c r="D101" s="1"/>
      <c r="E101" s="1"/>
      <c r="F101" s="28"/>
      <c r="G101" s="28"/>
      <c r="H101" s="28"/>
      <c r="I101" s="28"/>
      <c r="J101" s="28"/>
      <c r="K101" s="28"/>
      <c r="L101" s="28"/>
      <c r="M101" s="2"/>
      <c r="N101" s="28"/>
      <c r="O101" s="1"/>
      <c r="P101" s="1"/>
      <c r="Q101" s="1"/>
      <c r="R101" s="28"/>
      <c r="S101" s="28"/>
      <c r="T101" s="28"/>
      <c r="U101" s="28"/>
      <c r="V101" s="28"/>
      <c r="W101" s="28"/>
      <c r="X101" s="28"/>
      <c r="Y101" s="28"/>
      <c r="Z101" s="28"/>
      <c r="AA101" s="1"/>
      <c r="AB101" s="1"/>
      <c r="AC101" s="42"/>
      <c r="AD101" s="63"/>
      <c r="AE101" s="38"/>
      <c r="AF101" s="38"/>
      <c r="AG101" s="38"/>
    </row>
    <row r="102" spans="1:33" x14ac:dyDescent="0.45">
      <c r="A102" s="1"/>
      <c r="B102" s="1">
        <v>14</v>
      </c>
      <c r="C102" s="1"/>
      <c r="D102" s="1"/>
      <c r="E102" s="1"/>
      <c r="F102" s="28"/>
      <c r="G102" s="28"/>
      <c r="H102" s="28"/>
      <c r="I102" s="28"/>
      <c r="J102" s="28"/>
      <c r="K102" s="28"/>
      <c r="L102" s="28"/>
      <c r="M102" s="2"/>
      <c r="N102" s="28"/>
      <c r="O102" s="1"/>
      <c r="P102" s="1"/>
      <c r="Q102" s="1"/>
      <c r="R102" s="28"/>
      <c r="S102" s="28"/>
      <c r="T102" s="28"/>
      <c r="U102" s="28"/>
      <c r="V102" s="28"/>
      <c r="W102" s="28"/>
      <c r="X102" s="28"/>
      <c r="Y102" s="28"/>
      <c r="Z102" s="28"/>
      <c r="AA102" s="1"/>
      <c r="AB102" s="1"/>
      <c r="AC102" s="42"/>
      <c r="AD102" s="63"/>
      <c r="AE102" s="38"/>
      <c r="AF102" s="38"/>
      <c r="AG102" s="38"/>
    </row>
    <row r="103" spans="1:33" x14ac:dyDescent="0.4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</row>
    <row r="104" spans="1:33" ht="14.65" thickBot="1" x14ac:dyDescent="0.5">
      <c r="A104" s="1"/>
      <c r="B104" s="1">
        <v>3</v>
      </c>
      <c r="C104" s="1"/>
      <c r="D104" s="1"/>
      <c r="E104" s="1"/>
      <c r="F104" s="28"/>
      <c r="G104" s="28"/>
      <c r="H104" s="28"/>
      <c r="I104" s="28"/>
      <c r="J104" s="28"/>
      <c r="K104" s="28"/>
      <c r="L104" s="28"/>
      <c r="M104" s="41"/>
      <c r="N104" s="28"/>
      <c r="O104" s="1"/>
      <c r="P104" s="1"/>
      <c r="Q104" s="1"/>
      <c r="R104" s="28"/>
      <c r="S104" s="28"/>
      <c r="T104" s="28"/>
      <c r="U104" s="28"/>
      <c r="V104" s="28"/>
      <c r="W104" s="28"/>
      <c r="X104" s="28"/>
      <c r="Y104" s="28"/>
      <c r="Z104" s="28"/>
      <c r="AA104" s="1"/>
      <c r="AB104" s="1"/>
      <c r="AC104" s="42"/>
      <c r="AD104" s="63"/>
      <c r="AE104" s="38"/>
      <c r="AF104" s="38"/>
      <c r="AG104" s="38"/>
    </row>
    <row r="105" spans="1:33" x14ac:dyDescent="0.45">
      <c r="A105" s="1"/>
      <c r="B105" s="1">
        <v>14</v>
      </c>
      <c r="C105" s="1"/>
      <c r="D105" s="1"/>
      <c r="E105" s="1"/>
      <c r="F105" s="28"/>
      <c r="G105" s="28"/>
      <c r="H105" s="28"/>
      <c r="I105" s="28"/>
      <c r="J105" s="28"/>
      <c r="K105" s="28"/>
      <c r="L105" s="28"/>
      <c r="M105" s="2"/>
      <c r="N105" s="28"/>
      <c r="O105" s="1"/>
      <c r="P105" s="1"/>
      <c r="Q105" s="1"/>
      <c r="R105" s="28"/>
      <c r="S105" s="28"/>
      <c r="T105" s="28"/>
      <c r="U105" s="28"/>
      <c r="V105" s="28"/>
      <c r="W105" s="28"/>
      <c r="X105" s="28"/>
      <c r="Y105" s="28"/>
      <c r="Z105" s="28"/>
      <c r="AA105" s="1"/>
      <c r="AB105" s="1"/>
      <c r="AC105" s="42"/>
      <c r="AD105" s="63"/>
      <c r="AE105" s="38"/>
      <c r="AF105" s="38"/>
      <c r="AG105" s="38"/>
    </row>
    <row r="106" spans="1:33" x14ac:dyDescent="0.4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</row>
    <row r="107" spans="1:33" x14ac:dyDescent="0.45">
      <c r="A107" s="1"/>
      <c r="B107" s="1">
        <v>4</v>
      </c>
      <c r="C107" s="1"/>
      <c r="D107" s="1"/>
      <c r="E107" s="1"/>
      <c r="F107" s="28"/>
      <c r="G107" s="28"/>
      <c r="H107" s="28"/>
      <c r="I107" s="28"/>
      <c r="J107" s="28"/>
      <c r="K107" s="28"/>
      <c r="L107" s="28"/>
      <c r="M107" s="2"/>
      <c r="N107" s="28"/>
      <c r="O107" s="1"/>
      <c r="P107" s="1"/>
      <c r="Q107" s="1"/>
      <c r="R107" s="28"/>
      <c r="S107" s="28"/>
      <c r="T107" s="28"/>
      <c r="U107" s="28"/>
      <c r="V107" s="28"/>
      <c r="W107" s="28"/>
      <c r="X107" s="28"/>
      <c r="Y107" s="28"/>
      <c r="Z107" s="28"/>
      <c r="AA107" s="1"/>
      <c r="AB107" s="1"/>
      <c r="AC107" s="42"/>
      <c r="AD107" s="63"/>
      <c r="AE107" s="38"/>
      <c r="AF107" s="38"/>
      <c r="AG107" s="38"/>
    </row>
    <row r="108" spans="1:33" x14ac:dyDescent="0.45">
      <c r="A108" s="1"/>
      <c r="B108" s="1">
        <v>13</v>
      </c>
      <c r="C108" s="1"/>
      <c r="D108" s="1"/>
      <c r="E108" s="1"/>
      <c r="F108" s="28"/>
      <c r="G108" s="28"/>
      <c r="H108" s="28"/>
      <c r="I108" s="28"/>
      <c r="J108" s="28"/>
      <c r="K108" s="28"/>
      <c r="L108" s="28"/>
      <c r="M108" s="2"/>
      <c r="N108" s="28"/>
      <c r="O108" s="1"/>
      <c r="P108" s="1"/>
      <c r="Q108" s="1"/>
      <c r="R108" s="28"/>
      <c r="S108" s="28"/>
      <c r="T108" s="28"/>
      <c r="U108" s="28"/>
      <c r="V108" s="28"/>
      <c r="W108" s="28"/>
      <c r="X108" s="28"/>
      <c r="Y108" s="28"/>
      <c r="Z108" s="28"/>
      <c r="AA108" s="1"/>
      <c r="AB108" s="1"/>
      <c r="AC108" s="42"/>
      <c r="AD108" s="63"/>
      <c r="AE108" s="38"/>
      <c r="AF108" s="38"/>
      <c r="AG108" s="38"/>
    </row>
    <row r="109" spans="1:33" x14ac:dyDescent="0.4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</row>
    <row r="110" spans="1:33" x14ac:dyDescent="0.45">
      <c r="A110" s="1"/>
      <c r="B110" s="1">
        <v>4</v>
      </c>
      <c r="C110" s="1"/>
      <c r="D110" s="1"/>
      <c r="E110" s="1"/>
      <c r="F110" s="28"/>
      <c r="G110" s="28"/>
      <c r="H110" s="28"/>
      <c r="I110" s="28"/>
      <c r="J110" s="28"/>
      <c r="K110" s="28"/>
      <c r="L110" s="28"/>
      <c r="M110" s="2"/>
      <c r="N110" s="28"/>
      <c r="O110" s="1"/>
      <c r="P110" s="1"/>
      <c r="Q110" s="1"/>
      <c r="R110" s="28"/>
      <c r="S110" s="28"/>
      <c r="T110" s="28"/>
      <c r="U110" s="28"/>
      <c r="V110" s="28"/>
      <c r="W110" s="28"/>
      <c r="X110" s="28"/>
      <c r="Y110" s="28"/>
      <c r="Z110" s="28"/>
      <c r="AA110" s="1"/>
      <c r="AB110" s="1"/>
      <c r="AC110" s="42"/>
      <c r="AD110" s="63"/>
      <c r="AE110" s="38"/>
      <c r="AF110" s="38"/>
      <c r="AG110" s="38"/>
    </row>
    <row r="111" spans="1:33" x14ac:dyDescent="0.45">
      <c r="A111" s="1"/>
      <c r="B111" s="1">
        <v>13</v>
      </c>
      <c r="C111" s="1"/>
      <c r="D111" s="1"/>
      <c r="E111" s="1"/>
      <c r="F111" s="28"/>
      <c r="G111" s="28"/>
      <c r="H111" s="28"/>
      <c r="I111" s="28"/>
      <c r="J111" s="28"/>
      <c r="K111" s="28"/>
      <c r="L111" s="28"/>
      <c r="M111" s="2"/>
      <c r="N111" s="28"/>
      <c r="O111" s="1"/>
      <c r="P111" s="1"/>
      <c r="Q111" s="1"/>
      <c r="R111" s="28"/>
      <c r="S111" s="28"/>
      <c r="T111" s="28"/>
      <c r="U111" s="28"/>
      <c r="V111" s="28"/>
      <c r="W111" s="28"/>
      <c r="X111" s="28"/>
      <c r="Y111" s="28"/>
      <c r="Z111" s="28"/>
      <c r="AA111" s="1"/>
      <c r="AB111" s="1"/>
      <c r="AC111" s="42"/>
      <c r="AD111" s="63"/>
      <c r="AE111" s="38"/>
      <c r="AF111" s="38"/>
      <c r="AG111" s="38"/>
    </row>
    <row r="112" spans="1:33" x14ac:dyDescent="0.4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</row>
    <row r="113" spans="1:33" x14ac:dyDescent="0.45">
      <c r="A113" s="1"/>
      <c r="B113" s="1">
        <v>4</v>
      </c>
      <c r="C113" s="1"/>
      <c r="D113" s="1"/>
      <c r="E113" s="1"/>
      <c r="F113" s="28"/>
      <c r="G113" s="28"/>
      <c r="H113" s="28"/>
      <c r="I113" s="28"/>
      <c r="J113" s="28"/>
      <c r="K113" s="28"/>
      <c r="L113" s="28"/>
      <c r="M113" s="2"/>
      <c r="N113" s="28"/>
      <c r="O113" s="1"/>
      <c r="P113" s="1"/>
      <c r="Q113" s="1"/>
      <c r="R113" s="28"/>
      <c r="S113" s="28"/>
      <c r="T113" s="28"/>
      <c r="U113" s="28"/>
      <c r="V113" s="28"/>
      <c r="W113" s="28"/>
      <c r="X113" s="28"/>
      <c r="Y113" s="28"/>
      <c r="Z113" s="28"/>
      <c r="AA113" s="1"/>
      <c r="AB113" s="1"/>
      <c r="AC113" s="42"/>
      <c r="AD113" s="63"/>
      <c r="AE113" s="38"/>
      <c r="AF113" s="38"/>
      <c r="AG113" s="38"/>
    </row>
    <row r="114" spans="1:33" x14ac:dyDescent="0.45">
      <c r="A114" s="1"/>
      <c r="B114" s="1">
        <v>13</v>
      </c>
      <c r="C114" s="1"/>
      <c r="D114" s="1"/>
      <c r="E114" s="1"/>
      <c r="F114" s="28"/>
      <c r="G114" s="28"/>
      <c r="H114" s="28"/>
      <c r="I114" s="28"/>
      <c r="J114" s="28"/>
      <c r="K114" s="28"/>
      <c r="L114" s="28"/>
      <c r="M114" s="2"/>
      <c r="N114" s="28"/>
      <c r="O114" s="1"/>
      <c r="P114" s="1"/>
      <c r="Q114" s="1"/>
      <c r="R114" s="28"/>
      <c r="S114" s="28"/>
      <c r="T114" s="28"/>
      <c r="U114" s="28"/>
      <c r="V114" s="28"/>
      <c r="W114" s="28"/>
      <c r="X114" s="28"/>
      <c r="Y114" s="28"/>
      <c r="Z114" s="28"/>
      <c r="AA114" s="1"/>
      <c r="AB114" s="1"/>
      <c r="AC114" s="42"/>
      <c r="AD114" s="63"/>
      <c r="AE114" s="38"/>
      <c r="AF114" s="38"/>
      <c r="AG114" s="38"/>
    </row>
    <row r="115" spans="1:33" x14ac:dyDescent="0.4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</row>
    <row r="116" spans="1:33" ht="14.65" thickBot="1" x14ac:dyDescent="0.5">
      <c r="A116" s="1"/>
      <c r="B116" s="1">
        <v>4</v>
      </c>
      <c r="C116" s="1"/>
      <c r="D116" s="1"/>
      <c r="E116" s="1"/>
      <c r="F116" s="28"/>
      <c r="G116" s="28"/>
      <c r="H116" s="28"/>
      <c r="I116" s="28"/>
      <c r="J116" s="28"/>
      <c r="K116" s="28"/>
      <c r="L116" s="28"/>
      <c r="M116" s="41"/>
      <c r="N116" s="28"/>
      <c r="O116" s="1"/>
      <c r="P116" s="1"/>
      <c r="Q116" s="1"/>
      <c r="R116" s="28"/>
      <c r="S116" s="28"/>
      <c r="T116" s="28"/>
      <c r="U116" s="28"/>
      <c r="V116" s="28"/>
      <c r="W116" s="28"/>
      <c r="X116" s="28"/>
      <c r="Y116" s="28"/>
      <c r="Z116" s="28"/>
      <c r="AA116" s="1"/>
      <c r="AB116" s="1"/>
      <c r="AC116" s="42"/>
      <c r="AD116" s="63"/>
      <c r="AE116" s="38"/>
      <c r="AF116" s="38"/>
      <c r="AG116" s="38"/>
    </row>
    <row r="117" spans="1:33" ht="14.65" thickBot="1" x14ac:dyDescent="0.5">
      <c r="A117" s="1"/>
      <c r="B117" s="1">
        <v>13</v>
      </c>
      <c r="C117" s="1"/>
      <c r="D117" s="1"/>
      <c r="E117" s="1"/>
      <c r="F117" s="28"/>
      <c r="G117" s="28"/>
      <c r="H117" s="28"/>
      <c r="I117" s="28"/>
      <c r="J117" s="28"/>
      <c r="K117" s="28"/>
      <c r="L117" s="28"/>
      <c r="M117" s="41"/>
      <c r="N117" s="28"/>
      <c r="O117" s="1"/>
      <c r="P117" s="1"/>
      <c r="Q117" s="1"/>
      <c r="R117" s="28"/>
      <c r="S117" s="28"/>
      <c r="T117" s="28"/>
      <c r="U117" s="28"/>
      <c r="V117" s="28"/>
      <c r="W117" s="28"/>
      <c r="X117" s="28"/>
      <c r="Y117" s="28"/>
      <c r="Z117" s="28"/>
      <c r="AA117" s="1"/>
      <c r="AB117" s="1"/>
      <c r="AC117" s="42"/>
      <c r="AD117" s="63"/>
      <c r="AE117" s="38"/>
      <c r="AF117" s="38"/>
      <c r="AG117" s="38"/>
    </row>
    <row r="118" spans="1:33" x14ac:dyDescent="0.4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</row>
    <row r="119" spans="1:33" x14ac:dyDescent="0.45">
      <c r="A119" s="1"/>
      <c r="B119" s="1">
        <v>5</v>
      </c>
      <c r="C119" s="1"/>
      <c r="D119" s="1"/>
      <c r="E119" s="1"/>
      <c r="F119" s="28"/>
      <c r="G119" s="28"/>
      <c r="H119" s="28"/>
      <c r="I119" s="28"/>
      <c r="J119" s="28"/>
      <c r="K119" s="28"/>
      <c r="L119" s="28"/>
      <c r="M119" s="2"/>
      <c r="N119" s="28"/>
      <c r="O119" s="1"/>
      <c r="P119" s="1"/>
      <c r="Q119" s="1"/>
      <c r="R119" s="28"/>
      <c r="S119" s="28"/>
      <c r="T119" s="28"/>
      <c r="U119" s="28"/>
      <c r="V119" s="28"/>
      <c r="W119" s="28"/>
      <c r="X119" s="28"/>
      <c r="Y119" s="28"/>
      <c r="Z119" s="28"/>
      <c r="AA119" s="1"/>
      <c r="AB119" s="1"/>
      <c r="AC119" s="42"/>
      <c r="AD119" s="63"/>
      <c r="AE119" s="38"/>
      <c r="AF119" s="38"/>
      <c r="AG119" s="38"/>
    </row>
    <row r="120" spans="1:33" ht="14.65" thickBot="1" x14ac:dyDescent="0.5">
      <c r="A120" s="1"/>
      <c r="B120" s="1">
        <v>12</v>
      </c>
      <c r="C120" s="1"/>
      <c r="D120" s="1"/>
      <c r="E120" s="1"/>
      <c r="F120" s="28"/>
      <c r="G120" s="28"/>
      <c r="H120" s="28"/>
      <c r="I120" s="28"/>
      <c r="J120" s="28"/>
      <c r="K120" s="28"/>
      <c r="L120" s="28"/>
      <c r="M120" s="41"/>
      <c r="N120" s="28"/>
      <c r="O120" s="1"/>
      <c r="P120" s="1"/>
      <c r="Q120" s="1"/>
      <c r="R120" s="28"/>
      <c r="S120" s="28"/>
      <c r="T120" s="28"/>
      <c r="U120" s="28"/>
      <c r="V120" s="28"/>
      <c r="W120" s="28"/>
      <c r="X120" s="28"/>
      <c r="Y120" s="28"/>
      <c r="Z120" s="28"/>
      <c r="AA120" s="1"/>
      <c r="AB120" s="1"/>
      <c r="AC120" s="42"/>
      <c r="AD120" s="63"/>
      <c r="AE120" s="38"/>
      <c r="AF120" s="38"/>
      <c r="AG120" s="38"/>
    </row>
    <row r="121" spans="1:33" x14ac:dyDescent="0.4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</row>
    <row r="122" spans="1:33" x14ac:dyDescent="0.45">
      <c r="A122" s="1"/>
      <c r="B122" s="1">
        <v>5</v>
      </c>
      <c r="C122" s="1"/>
      <c r="D122" s="1"/>
      <c r="E122" s="1"/>
      <c r="F122" s="28"/>
      <c r="G122" s="28"/>
      <c r="H122" s="28"/>
      <c r="I122" s="28"/>
      <c r="J122" s="28"/>
      <c r="K122" s="28"/>
      <c r="L122" s="28"/>
      <c r="M122" s="2"/>
      <c r="N122" s="28"/>
      <c r="O122" s="1"/>
      <c r="P122" s="1"/>
      <c r="Q122" s="1"/>
      <c r="R122" s="28"/>
      <c r="S122" s="28"/>
      <c r="T122" s="28"/>
      <c r="U122" s="28"/>
      <c r="V122" s="28"/>
      <c r="W122" s="28"/>
      <c r="X122" s="28"/>
      <c r="Y122" s="28"/>
      <c r="Z122" s="28"/>
      <c r="AA122" s="1"/>
      <c r="AB122" s="1"/>
      <c r="AC122" s="42"/>
      <c r="AD122" s="63"/>
      <c r="AE122" s="38"/>
      <c r="AF122" s="38"/>
      <c r="AG122" s="38"/>
    </row>
    <row r="123" spans="1:33" x14ac:dyDescent="0.45">
      <c r="A123" s="1"/>
      <c r="B123" s="1">
        <v>12</v>
      </c>
      <c r="C123" s="1"/>
      <c r="D123" s="1"/>
      <c r="E123" s="1"/>
      <c r="F123" s="28"/>
      <c r="G123" s="28"/>
      <c r="H123" s="28"/>
      <c r="I123" s="28"/>
      <c r="J123" s="28"/>
      <c r="K123" s="28"/>
      <c r="L123" s="28"/>
      <c r="M123" s="2"/>
      <c r="N123" s="28"/>
      <c r="O123" s="1"/>
      <c r="P123" s="1"/>
      <c r="Q123" s="1"/>
      <c r="R123" s="28"/>
      <c r="S123" s="28"/>
      <c r="T123" s="28"/>
      <c r="U123" s="28"/>
      <c r="V123" s="28"/>
      <c r="W123" s="28"/>
      <c r="X123" s="28"/>
      <c r="Y123" s="28"/>
      <c r="Z123" s="28"/>
      <c r="AA123" s="1"/>
      <c r="AB123" s="1"/>
      <c r="AC123" s="42"/>
      <c r="AD123" s="63"/>
      <c r="AE123" s="38"/>
      <c r="AF123" s="38"/>
      <c r="AG123" s="38"/>
    </row>
    <row r="124" spans="1:33" x14ac:dyDescent="0.4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</row>
    <row r="125" spans="1:33" x14ac:dyDescent="0.45">
      <c r="A125" s="1"/>
      <c r="B125" s="1">
        <v>5</v>
      </c>
      <c r="C125" s="1"/>
      <c r="D125" s="1"/>
      <c r="E125" s="1"/>
      <c r="F125" s="28"/>
      <c r="G125" s="28"/>
      <c r="H125" s="28"/>
      <c r="I125" s="28"/>
      <c r="J125" s="28"/>
      <c r="K125" s="28"/>
      <c r="L125" s="28"/>
      <c r="M125" s="2"/>
      <c r="N125" s="28"/>
      <c r="O125" s="1"/>
      <c r="P125" s="1"/>
      <c r="Q125" s="1"/>
      <c r="R125" s="28"/>
      <c r="S125" s="28"/>
      <c r="T125" s="28"/>
      <c r="U125" s="28"/>
      <c r="V125" s="28"/>
      <c r="W125" s="28"/>
      <c r="X125" s="28"/>
      <c r="Y125" s="28"/>
      <c r="Z125" s="28"/>
      <c r="AA125" s="1"/>
      <c r="AB125" s="1"/>
      <c r="AC125" s="42"/>
      <c r="AD125" s="63"/>
      <c r="AE125" s="38"/>
      <c r="AF125" s="38"/>
      <c r="AG125" s="38"/>
    </row>
    <row r="126" spans="1:33" x14ac:dyDescent="0.45">
      <c r="A126" s="1"/>
      <c r="B126" s="1">
        <v>12</v>
      </c>
      <c r="C126" s="1"/>
      <c r="D126" s="1"/>
      <c r="E126" s="1"/>
      <c r="F126" s="28"/>
      <c r="G126" s="28"/>
      <c r="H126" s="28"/>
      <c r="I126" s="28"/>
      <c r="J126" s="28"/>
      <c r="K126" s="28"/>
      <c r="L126" s="28"/>
      <c r="M126" s="2"/>
      <c r="N126" s="28"/>
      <c r="O126" s="1"/>
      <c r="P126" s="1"/>
      <c r="Q126" s="1"/>
      <c r="R126" s="28"/>
      <c r="S126" s="28"/>
      <c r="T126" s="28"/>
      <c r="U126" s="28"/>
      <c r="V126" s="28"/>
      <c r="W126" s="28"/>
      <c r="X126" s="28"/>
      <c r="Y126" s="28"/>
      <c r="Z126" s="28"/>
      <c r="AA126" s="1"/>
      <c r="AB126" s="1"/>
      <c r="AC126" s="42"/>
      <c r="AD126" s="63"/>
      <c r="AE126" s="38"/>
      <c r="AF126" s="38"/>
      <c r="AG126" s="38"/>
    </row>
    <row r="127" spans="1:33" x14ac:dyDescent="0.4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</row>
    <row r="128" spans="1:33" ht="14.65" thickBot="1" x14ac:dyDescent="0.5">
      <c r="A128" s="1"/>
      <c r="B128" s="1">
        <v>5</v>
      </c>
      <c r="C128" s="1"/>
      <c r="D128" s="1"/>
      <c r="E128" s="1"/>
      <c r="F128" s="28"/>
      <c r="G128" s="28"/>
      <c r="H128" s="28"/>
      <c r="I128" s="28"/>
      <c r="J128" s="28"/>
      <c r="K128" s="28"/>
      <c r="L128" s="28"/>
      <c r="M128" s="41"/>
      <c r="N128" s="28"/>
      <c r="O128" s="1"/>
      <c r="P128" s="1"/>
      <c r="Q128" s="1"/>
      <c r="R128" s="28"/>
      <c r="S128" s="28"/>
      <c r="T128" s="28"/>
      <c r="U128" s="28"/>
      <c r="V128" s="28"/>
      <c r="W128" s="28"/>
      <c r="X128" s="28"/>
      <c r="Y128" s="28"/>
      <c r="Z128" s="28"/>
      <c r="AA128" s="1"/>
      <c r="AB128" s="1"/>
      <c r="AC128" s="42"/>
      <c r="AD128" s="63"/>
      <c r="AE128" s="38"/>
      <c r="AF128" s="38"/>
      <c r="AG128" s="38"/>
    </row>
    <row r="129" spans="1:33" x14ac:dyDescent="0.45">
      <c r="A129" s="1"/>
      <c r="B129" s="1">
        <v>12</v>
      </c>
      <c r="C129" s="1"/>
      <c r="D129" s="1"/>
      <c r="E129" s="1"/>
      <c r="F129" s="28"/>
      <c r="G129" s="28"/>
      <c r="H129" s="28"/>
      <c r="I129" s="28"/>
      <c r="J129" s="28"/>
      <c r="K129" s="28"/>
      <c r="L129" s="28"/>
      <c r="M129" s="2"/>
      <c r="N129" s="28"/>
      <c r="O129" s="1"/>
      <c r="P129" s="1"/>
      <c r="Q129" s="1"/>
      <c r="R129" s="28"/>
      <c r="S129" s="28"/>
      <c r="T129" s="28"/>
      <c r="U129" s="28"/>
      <c r="V129" s="28"/>
      <c r="W129" s="28"/>
      <c r="X129" s="28"/>
      <c r="Y129" s="28"/>
      <c r="Z129" s="28"/>
      <c r="AA129" s="1"/>
      <c r="AB129" s="1"/>
      <c r="AC129" s="42"/>
      <c r="AD129" s="63"/>
      <c r="AE129" s="38"/>
      <c r="AF129" s="38"/>
      <c r="AG129" s="38"/>
    </row>
    <row r="130" spans="1:33" x14ac:dyDescent="0.4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</row>
    <row r="131" spans="1:33" x14ac:dyDescent="0.45">
      <c r="A131" s="1"/>
      <c r="B131" s="1">
        <v>6</v>
      </c>
      <c r="C131" s="1"/>
      <c r="D131" s="1"/>
      <c r="E131" s="1"/>
      <c r="F131" s="28"/>
      <c r="G131" s="28"/>
      <c r="H131" s="28"/>
      <c r="I131" s="28"/>
      <c r="J131" s="28"/>
      <c r="K131" s="28"/>
      <c r="L131" s="28"/>
      <c r="M131" s="2"/>
      <c r="N131" s="28"/>
      <c r="O131" s="1"/>
      <c r="P131" s="1"/>
      <c r="Q131" s="1"/>
      <c r="R131" s="28"/>
      <c r="S131" s="28"/>
      <c r="T131" s="28"/>
      <c r="U131" s="28"/>
      <c r="V131" s="28"/>
      <c r="W131" s="28"/>
      <c r="X131" s="28"/>
      <c r="Y131" s="28"/>
      <c r="Z131" s="28"/>
      <c r="AA131" s="1"/>
      <c r="AB131" s="1"/>
      <c r="AC131" s="42"/>
      <c r="AD131" s="63"/>
      <c r="AE131" s="38"/>
      <c r="AF131" s="38"/>
      <c r="AG131" s="38"/>
    </row>
    <row r="132" spans="1:33" ht="14.65" thickBot="1" x14ac:dyDescent="0.5">
      <c r="A132" s="1"/>
      <c r="B132" s="1">
        <v>11</v>
      </c>
      <c r="C132" s="1"/>
      <c r="D132" s="1"/>
      <c r="E132" s="1"/>
      <c r="F132" s="28"/>
      <c r="G132" s="28"/>
      <c r="H132" s="28"/>
      <c r="I132" s="28"/>
      <c r="J132" s="28"/>
      <c r="K132" s="28"/>
      <c r="L132" s="28"/>
      <c r="M132" s="41"/>
      <c r="N132" s="28"/>
      <c r="O132" s="1"/>
      <c r="P132" s="1"/>
      <c r="Q132" s="1"/>
      <c r="R132" s="28"/>
      <c r="S132" s="28"/>
      <c r="T132" s="28"/>
      <c r="U132" s="28"/>
      <c r="V132" s="28"/>
      <c r="W132" s="28"/>
      <c r="X132" s="28"/>
      <c r="Y132" s="28"/>
      <c r="Z132" s="28"/>
      <c r="AA132" s="1"/>
      <c r="AB132" s="1"/>
      <c r="AC132" s="42"/>
      <c r="AD132" s="63"/>
      <c r="AE132" s="38"/>
      <c r="AF132" s="38"/>
      <c r="AG132" s="38"/>
    </row>
    <row r="133" spans="1:33" x14ac:dyDescent="0.4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</row>
    <row r="134" spans="1:33" x14ac:dyDescent="0.45">
      <c r="A134" s="1"/>
      <c r="B134" s="1">
        <v>6</v>
      </c>
      <c r="C134" s="1"/>
      <c r="D134" s="1"/>
      <c r="E134" s="1"/>
      <c r="F134" s="28"/>
      <c r="G134" s="28"/>
      <c r="H134" s="28"/>
      <c r="I134" s="28"/>
      <c r="J134" s="28"/>
      <c r="K134" s="28"/>
      <c r="L134" s="28"/>
      <c r="M134" s="2"/>
      <c r="N134" s="28"/>
      <c r="O134" s="1"/>
      <c r="P134" s="1"/>
      <c r="Q134" s="1"/>
      <c r="R134" s="28"/>
      <c r="S134" s="28"/>
      <c r="T134" s="28"/>
      <c r="U134" s="28"/>
      <c r="V134" s="28"/>
      <c r="W134" s="28"/>
      <c r="X134" s="28"/>
      <c r="Y134" s="28"/>
      <c r="Z134" s="28"/>
      <c r="AA134" s="1"/>
      <c r="AB134" s="1"/>
      <c r="AC134" s="42"/>
      <c r="AD134" s="63"/>
      <c r="AE134" s="38"/>
      <c r="AF134" s="38"/>
      <c r="AG134" s="38"/>
    </row>
    <row r="135" spans="1:33" x14ac:dyDescent="0.45">
      <c r="A135" s="1"/>
      <c r="B135" s="1">
        <v>11</v>
      </c>
      <c r="C135" s="1"/>
      <c r="D135" s="1"/>
      <c r="E135" s="1"/>
      <c r="F135" s="28"/>
      <c r="G135" s="28"/>
      <c r="H135" s="28"/>
      <c r="I135" s="28"/>
      <c r="J135" s="28"/>
      <c r="K135" s="28"/>
      <c r="L135" s="28"/>
      <c r="M135" s="2"/>
      <c r="N135" s="28"/>
      <c r="O135" s="1"/>
      <c r="P135" s="1"/>
      <c r="Q135" s="1"/>
      <c r="R135" s="28"/>
      <c r="S135" s="28"/>
      <c r="T135" s="28"/>
      <c r="U135" s="28"/>
      <c r="V135" s="28"/>
      <c r="W135" s="28"/>
      <c r="X135" s="28"/>
      <c r="Y135" s="28"/>
      <c r="Z135" s="28"/>
      <c r="AA135" s="1"/>
      <c r="AB135" s="1"/>
      <c r="AC135" s="42"/>
      <c r="AD135" s="63"/>
      <c r="AE135" s="38"/>
      <c r="AF135" s="38"/>
      <c r="AG135" s="38"/>
    </row>
    <row r="136" spans="1:33" x14ac:dyDescent="0.4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</row>
    <row r="137" spans="1:33" ht="14.65" thickBot="1" x14ac:dyDescent="0.5">
      <c r="A137" s="1"/>
      <c r="B137" s="1">
        <v>6</v>
      </c>
      <c r="C137" s="1"/>
      <c r="D137" s="1"/>
      <c r="E137" s="1"/>
      <c r="F137" s="28"/>
      <c r="G137" s="28"/>
      <c r="H137" s="28"/>
      <c r="I137" s="28"/>
      <c r="J137" s="28"/>
      <c r="K137" s="28"/>
      <c r="L137" s="28"/>
      <c r="M137" s="41"/>
      <c r="N137" s="28"/>
      <c r="O137" s="1"/>
      <c r="P137" s="1"/>
      <c r="Q137" s="1"/>
      <c r="R137" s="28"/>
      <c r="S137" s="28"/>
      <c r="T137" s="28"/>
      <c r="U137" s="28"/>
      <c r="V137" s="28"/>
      <c r="W137" s="28"/>
      <c r="X137" s="28"/>
      <c r="Y137" s="28"/>
      <c r="Z137" s="28"/>
      <c r="AA137" s="1"/>
      <c r="AB137" s="1"/>
      <c r="AC137" s="42"/>
      <c r="AD137" s="63"/>
      <c r="AE137" s="38"/>
      <c r="AF137" s="38"/>
      <c r="AG137" s="38"/>
    </row>
    <row r="138" spans="1:33" x14ac:dyDescent="0.45">
      <c r="A138" s="1"/>
      <c r="B138" s="1">
        <v>11</v>
      </c>
      <c r="C138" s="1"/>
      <c r="D138" s="1"/>
      <c r="E138" s="1"/>
      <c r="F138" s="28"/>
      <c r="G138" s="28"/>
      <c r="H138" s="28"/>
      <c r="I138" s="28"/>
      <c r="J138" s="28"/>
      <c r="K138" s="28"/>
      <c r="L138" s="28"/>
      <c r="M138" s="2"/>
      <c r="N138" s="28"/>
      <c r="O138" s="1"/>
      <c r="P138" s="1"/>
      <c r="Q138" s="1"/>
      <c r="R138" s="28"/>
      <c r="S138" s="28"/>
      <c r="T138" s="28"/>
      <c r="U138" s="28"/>
      <c r="V138" s="28"/>
      <c r="W138" s="28"/>
      <c r="X138" s="28"/>
      <c r="Y138" s="28"/>
      <c r="Z138" s="28"/>
      <c r="AA138" s="1"/>
      <c r="AB138" s="1"/>
      <c r="AC138" s="42"/>
      <c r="AD138" s="63"/>
      <c r="AE138" s="38"/>
      <c r="AF138" s="38"/>
      <c r="AG138" s="38"/>
    </row>
    <row r="139" spans="1:33" x14ac:dyDescent="0.4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</row>
    <row r="140" spans="1:33" x14ac:dyDescent="0.45">
      <c r="A140" s="1"/>
      <c r="B140" s="1">
        <v>6</v>
      </c>
      <c r="C140" s="1"/>
      <c r="D140" s="1"/>
      <c r="E140" s="1"/>
      <c r="F140" s="28"/>
      <c r="G140" s="28"/>
      <c r="H140" s="28"/>
      <c r="I140" s="28"/>
      <c r="J140" s="28"/>
      <c r="K140" s="28"/>
      <c r="L140" s="28"/>
      <c r="M140" s="2"/>
      <c r="N140" s="28"/>
      <c r="O140" s="1"/>
      <c r="P140" s="1"/>
      <c r="Q140" s="1"/>
      <c r="R140" s="28"/>
      <c r="S140" s="28"/>
      <c r="T140" s="28"/>
      <c r="U140" s="28"/>
      <c r="V140" s="28"/>
      <c r="W140" s="28"/>
      <c r="X140" s="28"/>
      <c r="Y140" s="28"/>
      <c r="Z140" s="28"/>
      <c r="AA140" s="1"/>
      <c r="AB140" s="1"/>
      <c r="AC140" s="42"/>
      <c r="AD140" s="63"/>
      <c r="AE140" s="38"/>
      <c r="AF140" s="38"/>
      <c r="AG140" s="38"/>
    </row>
    <row r="141" spans="1:33" x14ac:dyDescent="0.45">
      <c r="A141" s="1"/>
      <c r="B141" s="1">
        <v>11</v>
      </c>
      <c r="C141" s="1"/>
      <c r="D141" s="1"/>
      <c r="E141" s="1"/>
      <c r="F141" s="28"/>
      <c r="G141" s="28"/>
      <c r="H141" s="28"/>
      <c r="I141" s="28"/>
      <c r="J141" s="28"/>
      <c r="K141" s="28"/>
      <c r="L141" s="28"/>
      <c r="M141" s="2"/>
      <c r="N141" s="28"/>
      <c r="O141" s="1"/>
      <c r="P141" s="1"/>
      <c r="Q141" s="1"/>
      <c r="R141" s="28"/>
      <c r="S141" s="28"/>
      <c r="T141" s="28"/>
      <c r="U141" s="28"/>
      <c r="V141" s="28"/>
      <c r="W141" s="28"/>
      <c r="X141" s="28"/>
      <c r="Y141" s="28"/>
      <c r="Z141" s="28"/>
      <c r="AA141" s="1"/>
      <c r="AB141" s="1"/>
      <c r="AC141" s="42"/>
      <c r="AD141" s="63"/>
      <c r="AE141" s="38"/>
      <c r="AF141" s="38"/>
      <c r="AG141" s="38"/>
    </row>
    <row r="142" spans="1:33" x14ac:dyDescent="0.4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</row>
    <row r="143" spans="1:33" ht="14.65" thickBot="1" x14ac:dyDescent="0.5">
      <c r="A143" s="1"/>
      <c r="B143" s="1">
        <v>7</v>
      </c>
      <c r="C143" s="1"/>
      <c r="D143" s="1"/>
      <c r="E143" s="1"/>
      <c r="F143" s="28"/>
      <c r="G143" s="28"/>
      <c r="H143" s="28"/>
      <c r="I143" s="28"/>
      <c r="J143" s="28"/>
      <c r="K143" s="28"/>
      <c r="L143" s="28"/>
      <c r="M143" s="41"/>
      <c r="N143" s="28"/>
      <c r="O143" s="1"/>
      <c r="P143" s="1"/>
      <c r="Q143" s="1"/>
      <c r="R143" s="28"/>
      <c r="S143" s="28"/>
      <c r="T143" s="28"/>
      <c r="U143" s="28"/>
      <c r="V143" s="28"/>
      <c r="W143" s="28"/>
      <c r="X143" s="28"/>
      <c r="Y143" s="28"/>
      <c r="Z143" s="28"/>
      <c r="AA143" s="1"/>
      <c r="AB143" s="1"/>
      <c r="AC143" s="42"/>
      <c r="AD143" s="63"/>
      <c r="AE143" s="38"/>
      <c r="AF143" s="38"/>
      <c r="AG143" s="38"/>
    </row>
    <row r="144" spans="1:33" ht="14.65" thickBot="1" x14ac:dyDescent="0.5">
      <c r="A144" s="1"/>
      <c r="B144" s="1">
        <v>10</v>
      </c>
      <c r="C144" s="1"/>
      <c r="D144" s="1"/>
      <c r="E144" s="1"/>
      <c r="F144" s="28"/>
      <c r="G144" s="28"/>
      <c r="H144" s="28"/>
      <c r="I144" s="28"/>
      <c r="J144" s="28"/>
      <c r="K144" s="28"/>
      <c r="L144" s="28"/>
      <c r="M144" s="41"/>
      <c r="N144" s="28"/>
      <c r="O144" s="1"/>
      <c r="P144" s="1"/>
      <c r="Q144" s="1"/>
      <c r="R144" s="28"/>
      <c r="S144" s="28"/>
      <c r="T144" s="28"/>
      <c r="U144" s="28"/>
      <c r="V144" s="28"/>
      <c r="W144" s="28"/>
      <c r="X144" s="28"/>
      <c r="Y144" s="28"/>
      <c r="Z144" s="28"/>
      <c r="AA144" s="1"/>
      <c r="AB144" s="1"/>
      <c r="AC144" s="42"/>
      <c r="AD144" s="63"/>
      <c r="AE144" s="38"/>
      <c r="AF144" s="38"/>
      <c r="AG144" s="38"/>
    </row>
    <row r="145" spans="1:33" x14ac:dyDescent="0.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</row>
    <row r="146" spans="1:33" x14ac:dyDescent="0.45">
      <c r="A146" s="1"/>
      <c r="B146" s="1">
        <v>7</v>
      </c>
      <c r="C146" s="1"/>
      <c r="D146" s="1"/>
      <c r="E146" s="1"/>
      <c r="F146" s="28"/>
      <c r="G146" s="28"/>
      <c r="H146" s="28"/>
      <c r="I146" s="28"/>
      <c r="J146" s="28"/>
      <c r="K146" s="28"/>
      <c r="L146" s="28"/>
      <c r="M146" s="2"/>
      <c r="N146" s="28"/>
      <c r="O146" s="1"/>
      <c r="P146" s="1"/>
      <c r="Q146" s="1"/>
      <c r="R146" s="28"/>
      <c r="S146" s="28"/>
      <c r="T146" s="28"/>
      <c r="U146" s="28"/>
      <c r="V146" s="28"/>
      <c r="W146" s="28"/>
      <c r="X146" s="28"/>
      <c r="Y146" s="28"/>
      <c r="Z146" s="28"/>
      <c r="AA146" s="1"/>
      <c r="AB146" s="1"/>
      <c r="AC146" s="42"/>
      <c r="AD146" s="63"/>
      <c r="AE146" s="38"/>
      <c r="AF146" s="38"/>
      <c r="AG146" s="38"/>
    </row>
    <row r="147" spans="1:33" x14ac:dyDescent="0.45">
      <c r="A147" s="1"/>
      <c r="B147" s="1">
        <v>10</v>
      </c>
      <c r="C147" s="1"/>
      <c r="D147" s="1"/>
      <c r="E147" s="1"/>
      <c r="F147" s="28"/>
      <c r="G147" s="28"/>
      <c r="H147" s="28"/>
      <c r="I147" s="28"/>
      <c r="J147" s="28"/>
      <c r="K147" s="28"/>
      <c r="L147" s="28"/>
      <c r="M147" s="2"/>
      <c r="N147" s="28"/>
      <c r="O147" s="1"/>
      <c r="P147" s="1"/>
      <c r="Q147" s="1"/>
      <c r="R147" s="28"/>
      <c r="S147" s="28"/>
      <c r="T147" s="28"/>
      <c r="U147" s="28"/>
      <c r="V147" s="28"/>
      <c r="W147" s="28"/>
      <c r="X147" s="28"/>
      <c r="Y147" s="28"/>
      <c r="Z147" s="28"/>
      <c r="AA147" s="1"/>
      <c r="AB147" s="1"/>
      <c r="AC147" s="42"/>
      <c r="AD147" s="63"/>
      <c r="AE147" s="38"/>
      <c r="AF147" s="38"/>
      <c r="AG147" s="38"/>
    </row>
    <row r="148" spans="1:33" x14ac:dyDescent="0.4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</row>
    <row r="149" spans="1:33" x14ac:dyDescent="0.45">
      <c r="A149" s="1"/>
      <c r="B149" s="1">
        <v>7</v>
      </c>
      <c r="C149" s="1"/>
      <c r="D149" s="1"/>
      <c r="E149" s="1"/>
      <c r="F149" s="28"/>
      <c r="G149" s="28"/>
      <c r="H149" s="28"/>
      <c r="I149" s="28"/>
      <c r="J149" s="28"/>
      <c r="K149" s="28"/>
      <c r="L149" s="28"/>
      <c r="M149" s="2"/>
      <c r="N149" s="28"/>
      <c r="O149" s="1"/>
      <c r="P149" s="1"/>
      <c r="Q149" s="1"/>
      <c r="R149" s="28"/>
      <c r="S149" s="28"/>
      <c r="T149" s="28"/>
      <c r="U149" s="28"/>
      <c r="V149" s="28"/>
      <c r="W149" s="28"/>
      <c r="X149" s="28"/>
      <c r="Y149" s="28"/>
      <c r="Z149" s="28"/>
      <c r="AA149" s="1"/>
      <c r="AB149" s="1"/>
      <c r="AC149" s="42"/>
      <c r="AD149" s="63"/>
      <c r="AE149" s="38"/>
      <c r="AF149" s="38"/>
      <c r="AG149" s="38"/>
    </row>
    <row r="150" spans="1:33" x14ac:dyDescent="0.45">
      <c r="A150" s="1"/>
      <c r="B150" s="1">
        <v>10</v>
      </c>
      <c r="C150" s="1"/>
      <c r="D150" s="1"/>
      <c r="E150" s="1"/>
      <c r="F150" s="28"/>
      <c r="G150" s="28"/>
      <c r="H150" s="28"/>
      <c r="I150" s="28"/>
      <c r="J150" s="28"/>
      <c r="K150" s="28"/>
      <c r="L150" s="28"/>
      <c r="M150" s="2"/>
      <c r="N150" s="28"/>
      <c r="O150" s="1"/>
      <c r="P150" s="1"/>
      <c r="Q150" s="1"/>
      <c r="R150" s="28"/>
      <c r="S150" s="28"/>
      <c r="T150" s="28"/>
      <c r="U150" s="28"/>
      <c r="V150" s="28"/>
      <c r="W150" s="28"/>
      <c r="X150" s="28"/>
      <c r="Y150" s="28"/>
      <c r="Z150" s="28"/>
      <c r="AA150" s="1"/>
      <c r="AB150" s="1"/>
      <c r="AC150" s="42"/>
      <c r="AD150" s="63"/>
      <c r="AE150" s="38"/>
      <c r="AF150" s="38"/>
      <c r="AG150" s="38"/>
    </row>
    <row r="151" spans="1:33" x14ac:dyDescent="0.4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</row>
    <row r="152" spans="1:33" x14ac:dyDescent="0.45">
      <c r="A152" s="1"/>
      <c r="B152" s="1">
        <v>7</v>
      </c>
      <c r="C152" s="1"/>
      <c r="D152" s="1"/>
      <c r="E152" s="1"/>
      <c r="F152" s="28"/>
      <c r="G152" s="28"/>
      <c r="H152" s="28"/>
      <c r="I152" s="28"/>
      <c r="J152" s="28"/>
      <c r="K152" s="28"/>
      <c r="L152" s="28"/>
      <c r="M152" s="2"/>
      <c r="N152" s="28"/>
      <c r="O152" s="1"/>
      <c r="P152" s="1"/>
      <c r="Q152" s="1"/>
      <c r="R152" s="28"/>
      <c r="S152" s="28"/>
      <c r="T152" s="28"/>
      <c r="U152" s="28"/>
      <c r="V152" s="28"/>
      <c r="W152" s="28"/>
      <c r="X152" s="28"/>
      <c r="Y152" s="28"/>
      <c r="Z152" s="28"/>
      <c r="AA152" s="1"/>
      <c r="AB152" s="1"/>
      <c r="AC152" s="42"/>
      <c r="AD152" s="63"/>
      <c r="AE152" s="38"/>
      <c r="AF152" s="38"/>
      <c r="AG152" s="38"/>
    </row>
    <row r="153" spans="1:33" x14ac:dyDescent="0.45">
      <c r="A153" s="1"/>
      <c r="B153" s="1">
        <v>10</v>
      </c>
      <c r="C153" s="1"/>
      <c r="D153" s="1"/>
      <c r="E153" s="1"/>
      <c r="F153" s="28"/>
      <c r="G153" s="28"/>
      <c r="H153" s="28"/>
      <c r="I153" s="28"/>
      <c r="J153" s="28"/>
      <c r="K153" s="28"/>
      <c r="L153" s="28"/>
      <c r="M153" s="2"/>
      <c r="N153" s="28"/>
      <c r="O153" s="1"/>
      <c r="P153" s="1"/>
      <c r="Q153" s="1"/>
      <c r="R153" s="28"/>
      <c r="S153" s="28"/>
      <c r="T153" s="28"/>
      <c r="U153" s="28"/>
      <c r="V153" s="28"/>
      <c r="W153" s="28"/>
      <c r="X153" s="28"/>
      <c r="Y153" s="28"/>
      <c r="Z153" s="28"/>
      <c r="AA153" s="1"/>
      <c r="AB153" s="1"/>
      <c r="AC153" s="42"/>
      <c r="AD153" s="63"/>
      <c r="AE153" s="38"/>
      <c r="AF153" s="38"/>
      <c r="AG153" s="38"/>
    </row>
    <row r="154" spans="1:33" x14ac:dyDescent="0.4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</row>
    <row r="155" spans="1:33" x14ac:dyDescent="0.45">
      <c r="A155" s="1"/>
      <c r="B155" s="1">
        <v>8</v>
      </c>
      <c r="C155" s="1"/>
      <c r="D155" s="1"/>
      <c r="E155" s="1"/>
      <c r="F155" s="28"/>
      <c r="G155" s="28"/>
      <c r="H155" s="28"/>
      <c r="I155" s="28"/>
      <c r="J155" s="28"/>
      <c r="K155" s="28"/>
      <c r="L155" s="28"/>
      <c r="M155" s="2"/>
      <c r="N155" s="28"/>
      <c r="O155" s="1"/>
      <c r="P155" s="1"/>
      <c r="Q155" s="1"/>
      <c r="R155" s="28"/>
      <c r="S155" s="28"/>
      <c r="T155" s="28"/>
      <c r="U155" s="28"/>
      <c r="V155" s="28"/>
      <c r="W155" s="28"/>
      <c r="X155" s="28"/>
      <c r="Y155" s="28"/>
      <c r="Z155" s="28"/>
      <c r="AA155" s="1"/>
      <c r="AB155" s="1"/>
      <c r="AC155" s="42"/>
      <c r="AD155" s="63"/>
      <c r="AE155" s="38"/>
      <c r="AF155" s="38"/>
      <c r="AG155" s="38"/>
    </row>
    <row r="156" spans="1:33" ht="14.65" thickBot="1" x14ac:dyDescent="0.5">
      <c r="A156" s="1"/>
      <c r="B156" s="1">
        <v>9</v>
      </c>
      <c r="C156" s="1"/>
      <c r="D156" s="1"/>
      <c r="E156" s="1"/>
      <c r="F156" s="28"/>
      <c r="G156" s="28"/>
      <c r="H156" s="28"/>
      <c r="I156" s="28"/>
      <c r="J156" s="28"/>
      <c r="K156" s="28"/>
      <c r="L156" s="28"/>
      <c r="M156" s="41"/>
      <c r="N156" s="28"/>
      <c r="O156" s="1"/>
      <c r="P156" s="1"/>
      <c r="Q156" s="1"/>
      <c r="R156" s="28"/>
      <c r="S156" s="28"/>
      <c r="T156" s="28"/>
      <c r="U156" s="28"/>
      <c r="V156" s="28"/>
      <c r="W156" s="28"/>
      <c r="X156" s="28"/>
      <c r="Y156" s="28"/>
      <c r="Z156" s="28"/>
      <c r="AA156" s="1"/>
      <c r="AB156" s="1"/>
      <c r="AC156" s="42"/>
      <c r="AD156" s="63"/>
      <c r="AE156" s="38"/>
      <c r="AF156" s="38"/>
      <c r="AG156" s="38"/>
    </row>
    <row r="157" spans="1:33" x14ac:dyDescent="0.4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</row>
    <row r="158" spans="1:33" ht="14.65" thickBot="1" x14ac:dyDescent="0.5">
      <c r="A158" s="1"/>
      <c r="B158" s="1">
        <v>8</v>
      </c>
      <c r="C158" s="1"/>
      <c r="D158" s="1"/>
      <c r="E158" s="1"/>
      <c r="F158" s="28"/>
      <c r="G158" s="28"/>
      <c r="H158" s="28"/>
      <c r="I158" s="28"/>
      <c r="J158" s="28"/>
      <c r="K158" s="28"/>
      <c r="L158" s="28"/>
      <c r="M158" s="41"/>
      <c r="N158" s="28"/>
      <c r="O158" s="1"/>
      <c r="P158" s="1"/>
      <c r="Q158" s="1"/>
      <c r="R158" s="28"/>
      <c r="S158" s="28"/>
      <c r="T158" s="28"/>
      <c r="U158" s="28"/>
      <c r="V158" s="28"/>
      <c r="W158" s="28"/>
      <c r="X158" s="28"/>
      <c r="Y158" s="28"/>
      <c r="Z158" s="28"/>
      <c r="AA158" s="1"/>
      <c r="AB158" s="1"/>
      <c r="AC158" s="42"/>
      <c r="AD158" s="63"/>
      <c r="AE158" s="38"/>
      <c r="AF158" s="38"/>
      <c r="AG158" s="38"/>
    </row>
    <row r="159" spans="1:33" x14ac:dyDescent="0.45">
      <c r="A159" s="1"/>
      <c r="B159" s="1">
        <v>9</v>
      </c>
      <c r="C159" s="1"/>
      <c r="D159" s="1"/>
      <c r="E159" s="1"/>
      <c r="F159" s="28"/>
      <c r="G159" s="28"/>
      <c r="H159" s="28"/>
      <c r="I159" s="28"/>
      <c r="J159" s="28"/>
      <c r="K159" s="28"/>
      <c r="L159" s="28"/>
      <c r="M159" s="2"/>
      <c r="N159" s="28"/>
      <c r="O159" s="1"/>
      <c r="P159" s="1"/>
      <c r="Q159" s="1"/>
      <c r="R159" s="28"/>
      <c r="S159" s="28"/>
      <c r="T159" s="28"/>
      <c r="U159" s="28"/>
      <c r="V159" s="28"/>
      <c r="W159" s="28"/>
      <c r="X159" s="28"/>
      <c r="Y159" s="28"/>
      <c r="Z159" s="28"/>
      <c r="AA159" s="1"/>
      <c r="AB159" s="1"/>
      <c r="AC159" s="42"/>
      <c r="AD159" s="63"/>
      <c r="AE159" s="38"/>
      <c r="AF159" s="38"/>
      <c r="AG159" s="38"/>
    </row>
    <row r="160" spans="1:33" x14ac:dyDescent="0.4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</row>
    <row r="161" spans="1:33" x14ac:dyDescent="0.45">
      <c r="A161" s="1"/>
      <c r="B161" s="1">
        <v>8</v>
      </c>
      <c r="C161" s="1"/>
      <c r="D161" s="1"/>
      <c r="E161" s="1"/>
      <c r="F161" s="28"/>
      <c r="G161" s="28"/>
      <c r="H161" s="28"/>
      <c r="I161" s="28"/>
      <c r="J161" s="28"/>
      <c r="K161" s="28"/>
      <c r="L161" s="28"/>
      <c r="M161" s="2"/>
      <c r="N161" s="28"/>
      <c r="O161" s="1"/>
      <c r="P161" s="1"/>
      <c r="Q161" s="1"/>
      <c r="R161" s="28"/>
      <c r="S161" s="28"/>
      <c r="T161" s="28"/>
      <c r="U161" s="28"/>
      <c r="V161" s="28"/>
      <c r="W161" s="28"/>
      <c r="X161" s="28"/>
      <c r="Y161" s="28"/>
      <c r="Z161" s="28"/>
      <c r="AA161" s="1"/>
      <c r="AB161" s="1"/>
      <c r="AC161" s="42"/>
      <c r="AD161" s="63"/>
      <c r="AE161" s="38"/>
      <c r="AF161" s="38"/>
      <c r="AG161" s="38"/>
    </row>
    <row r="162" spans="1:33" x14ac:dyDescent="0.45">
      <c r="A162" s="1"/>
      <c r="B162" s="1">
        <v>9</v>
      </c>
      <c r="C162" s="1"/>
      <c r="D162" s="1"/>
      <c r="E162" s="1"/>
      <c r="F162" s="28"/>
      <c r="G162" s="28"/>
      <c r="H162" s="28"/>
      <c r="I162" s="28"/>
      <c r="J162" s="28"/>
      <c r="K162" s="28"/>
      <c r="L162" s="28"/>
      <c r="M162" s="2"/>
      <c r="N162" s="28"/>
      <c r="O162" s="1"/>
      <c r="P162" s="1"/>
      <c r="Q162" s="1"/>
      <c r="R162" s="28"/>
      <c r="S162" s="28"/>
      <c r="T162" s="28"/>
      <c r="U162" s="28"/>
      <c r="V162" s="28"/>
      <c r="W162" s="28"/>
      <c r="X162" s="28"/>
      <c r="Y162" s="28"/>
      <c r="Z162" s="28"/>
      <c r="AA162" s="1"/>
      <c r="AB162" s="1"/>
      <c r="AC162" s="42"/>
      <c r="AD162" s="63"/>
      <c r="AE162" s="38"/>
      <c r="AF162" s="38"/>
      <c r="AG162" s="38"/>
    </row>
    <row r="163" spans="1:33" x14ac:dyDescent="0.4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</row>
    <row r="164" spans="1:33" x14ac:dyDescent="0.45">
      <c r="A164" s="1"/>
      <c r="B164" s="1">
        <v>8</v>
      </c>
      <c r="C164" s="1"/>
      <c r="D164" s="1"/>
      <c r="E164" s="1"/>
      <c r="F164" s="28"/>
      <c r="G164" s="28"/>
      <c r="H164" s="28"/>
      <c r="I164" s="28"/>
      <c r="J164" s="28"/>
      <c r="K164" s="28"/>
      <c r="L164" s="28"/>
      <c r="M164" s="2"/>
      <c r="N164" s="28"/>
      <c r="O164" s="1"/>
      <c r="P164" s="1"/>
      <c r="Q164" s="1"/>
      <c r="R164" s="28"/>
      <c r="S164" s="28"/>
      <c r="T164" s="28"/>
      <c r="U164" s="28"/>
      <c r="V164" s="28"/>
      <c r="W164" s="28"/>
      <c r="X164" s="28"/>
      <c r="Y164" s="28"/>
      <c r="Z164" s="28"/>
      <c r="AA164" s="1"/>
      <c r="AB164" s="1"/>
      <c r="AC164" s="42"/>
      <c r="AD164" s="63"/>
      <c r="AE164" s="38"/>
      <c r="AF164" s="38"/>
      <c r="AG164" s="38"/>
    </row>
    <row r="165" spans="1:33" x14ac:dyDescent="0.45">
      <c r="A165" s="1"/>
      <c r="B165" s="1">
        <v>9</v>
      </c>
      <c r="C165" s="1"/>
      <c r="D165" s="1"/>
      <c r="E165" s="1"/>
      <c r="F165" s="28"/>
      <c r="G165" s="28"/>
      <c r="H165" s="28"/>
      <c r="I165" s="28"/>
      <c r="J165" s="28"/>
      <c r="K165" s="28"/>
      <c r="L165" s="28"/>
      <c r="M165" s="2"/>
      <c r="N165" s="28"/>
      <c r="O165" s="1"/>
      <c r="P165" s="1"/>
      <c r="Q165" s="1"/>
      <c r="R165" s="28"/>
      <c r="S165" s="28"/>
      <c r="T165" s="28"/>
      <c r="U165" s="28"/>
      <c r="V165" s="28"/>
      <c r="W165" s="28"/>
      <c r="X165" s="28"/>
      <c r="Y165" s="28"/>
      <c r="Z165" s="28"/>
      <c r="AA165" s="1"/>
      <c r="AB165" s="1"/>
      <c r="AC165" s="42"/>
      <c r="AD165" s="63"/>
      <c r="AE165" s="38"/>
      <c r="AF165" s="38"/>
      <c r="AG165" s="38"/>
    </row>
    <row r="166" spans="1:33" x14ac:dyDescent="0.4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8"/>
      <c r="AE166" s="88"/>
      <c r="AF166" s="88"/>
      <c r="AG166" s="88"/>
    </row>
    <row r="167" spans="1:33" ht="14.65" thickBot="1" x14ac:dyDescent="0.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87"/>
      <c r="AE167" s="87"/>
      <c r="AF167" s="87"/>
      <c r="AG167" s="87"/>
    </row>
    <row r="168" spans="1:33" ht="15" customHeight="1" x14ac:dyDescent="0.45">
      <c r="A168" s="70" t="s">
        <v>93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2"/>
    </row>
    <row r="169" spans="1:33" ht="15.75" customHeight="1" thickBot="1" x14ac:dyDescent="0.5">
      <c r="A169" s="73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5"/>
    </row>
    <row r="170" spans="1:33" x14ac:dyDescent="0.45">
      <c r="A170" s="2"/>
      <c r="B170" s="2"/>
      <c r="C170" s="2"/>
      <c r="D170" s="2"/>
      <c r="E170" s="2"/>
      <c r="F170" s="25"/>
      <c r="G170" s="25"/>
      <c r="H170" s="25"/>
      <c r="I170" s="25"/>
      <c r="J170" s="25"/>
      <c r="K170" s="25"/>
      <c r="L170" s="25"/>
      <c r="M170" s="2"/>
      <c r="N170" s="25"/>
      <c r="O170" s="2"/>
      <c r="P170" s="2"/>
      <c r="Q170" s="2"/>
      <c r="R170" s="25"/>
      <c r="S170" s="25"/>
      <c r="T170" s="25"/>
      <c r="U170" s="25"/>
      <c r="V170" s="25"/>
      <c r="W170" s="25"/>
      <c r="X170" s="25"/>
      <c r="Y170" s="25"/>
      <c r="Z170" s="25"/>
      <c r="AA170" s="2"/>
      <c r="AB170" s="2"/>
      <c r="AC170" s="52"/>
      <c r="AD170" s="62"/>
      <c r="AE170" s="39"/>
      <c r="AF170" s="39"/>
      <c r="AG170" s="39"/>
    </row>
    <row r="171" spans="1:33" ht="14.65" thickBot="1" x14ac:dyDescent="0.5">
      <c r="A171" s="1"/>
      <c r="B171" s="1"/>
      <c r="C171" s="1"/>
      <c r="D171" s="1"/>
      <c r="E171" s="1"/>
      <c r="F171" s="28"/>
      <c r="G171" s="28"/>
      <c r="H171" s="28"/>
      <c r="I171" s="28"/>
      <c r="J171" s="28"/>
      <c r="K171" s="28"/>
      <c r="L171" s="28"/>
      <c r="M171" s="41"/>
      <c r="N171" s="28"/>
      <c r="O171" s="1"/>
      <c r="P171" s="1"/>
      <c r="Q171" s="1"/>
      <c r="R171" s="28"/>
      <c r="S171" s="28"/>
      <c r="T171" s="28"/>
      <c r="U171" s="28"/>
      <c r="V171" s="28"/>
      <c r="W171" s="28"/>
      <c r="X171" s="28"/>
      <c r="Y171" s="28"/>
      <c r="Z171" s="28"/>
      <c r="AA171" s="1"/>
      <c r="AB171" s="1"/>
      <c r="AC171" s="42"/>
      <c r="AD171" s="63"/>
      <c r="AE171" s="38"/>
      <c r="AF171" s="38"/>
      <c r="AG171" s="38"/>
    </row>
    <row r="172" spans="1:33" x14ac:dyDescent="0.4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</row>
    <row r="173" spans="1:33" x14ac:dyDescent="0.45">
      <c r="A173" s="1"/>
      <c r="B173" s="1"/>
      <c r="C173" s="1"/>
      <c r="D173" s="1"/>
      <c r="E173" s="1"/>
      <c r="F173" s="28"/>
      <c r="G173" s="28"/>
      <c r="H173" s="28"/>
      <c r="I173" s="28"/>
      <c r="J173" s="28"/>
      <c r="K173" s="28"/>
      <c r="L173" s="28"/>
      <c r="M173" s="2"/>
      <c r="N173" s="28"/>
      <c r="O173" s="1"/>
      <c r="P173" s="1"/>
      <c r="Q173" s="1"/>
      <c r="R173" s="28"/>
      <c r="S173" s="28"/>
      <c r="T173" s="28"/>
      <c r="U173" s="28"/>
      <c r="V173" s="28"/>
      <c r="W173" s="28"/>
      <c r="X173" s="28"/>
      <c r="Y173" s="28"/>
      <c r="Z173" s="28"/>
      <c r="AA173" s="1"/>
      <c r="AB173" s="1"/>
      <c r="AC173" s="42"/>
      <c r="AD173" s="63"/>
      <c r="AE173" s="38"/>
      <c r="AF173" s="38"/>
      <c r="AG173" s="38"/>
    </row>
    <row r="174" spans="1:33" x14ac:dyDescent="0.45">
      <c r="A174" s="1"/>
      <c r="B174" s="1"/>
      <c r="C174" s="1"/>
      <c r="D174" s="1"/>
      <c r="E174" s="1"/>
      <c r="F174" s="28"/>
      <c r="G174" s="28"/>
      <c r="H174" s="28"/>
      <c r="I174" s="28"/>
      <c r="J174" s="28"/>
      <c r="K174" s="28"/>
      <c r="L174" s="28"/>
      <c r="M174" s="2"/>
      <c r="N174" s="28"/>
      <c r="O174" s="1"/>
      <c r="P174" s="1"/>
      <c r="Q174" s="1"/>
      <c r="R174" s="28"/>
      <c r="S174" s="28"/>
      <c r="T174" s="28"/>
      <c r="U174" s="28"/>
      <c r="V174" s="28"/>
      <c r="W174" s="28"/>
      <c r="X174" s="28"/>
      <c r="Y174" s="28"/>
      <c r="Z174" s="28"/>
      <c r="AA174" s="1"/>
      <c r="AB174" s="1"/>
      <c r="AC174" s="42"/>
      <c r="AD174" s="63"/>
      <c r="AE174" s="38"/>
      <c r="AF174" s="38"/>
      <c r="AG174" s="38"/>
    </row>
    <row r="175" spans="1:33" x14ac:dyDescent="0.4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</row>
    <row r="176" spans="1:33" x14ac:dyDescent="0.45">
      <c r="A176" s="1"/>
      <c r="B176" s="1"/>
      <c r="C176" s="1"/>
      <c r="D176" s="1"/>
      <c r="E176" s="1"/>
      <c r="F176" s="28"/>
      <c r="G176" s="28"/>
      <c r="H176" s="28"/>
      <c r="I176" s="28"/>
      <c r="J176" s="28"/>
      <c r="K176" s="28"/>
      <c r="L176" s="28"/>
      <c r="M176" s="1"/>
      <c r="N176" s="28"/>
      <c r="O176" s="1"/>
      <c r="P176" s="1"/>
      <c r="Q176" s="1"/>
      <c r="R176" s="28"/>
      <c r="S176" s="28"/>
      <c r="T176" s="28"/>
      <c r="U176" s="28"/>
      <c r="V176" s="28"/>
      <c r="W176" s="28"/>
      <c r="X176" s="28"/>
      <c r="Y176" s="28"/>
      <c r="Z176" s="28"/>
      <c r="AA176" s="1"/>
      <c r="AB176" s="1"/>
      <c r="AC176" s="42"/>
      <c r="AD176" s="63"/>
      <c r="AE176" s="38"/>
      <c r="AF176" s="38"/>
      <c r="AG176" s="38"/>
    </row>
    <row r="177" spans="1:33" x14ac:dyDescent="0.45">
      <c r="A177" s="1"/>
      <c r="B177" s="1"/>
      <c r="C177" s="1"/>
      <c r="D177" s="1"/>
      <c r="E177" s="1"/>
      <c r="F177" s="28"/>
      <c r="G177" s="28"/>
      <c r="H177" s="28"/>
      <c r="I177" s="28"/>
      <c r="J177" s="28"/>
      <c r="K177" s="28"/>
      <c r="L177" s="28"/>
      <c r="M177" s="2"/>
      <c r="N177" s="28"/>
      <c r="O177" s="1"/>
      <c r="P177" s="1"/>
      <c r="Q177" s="1"/>
      <c r="R177" s="28"/>
      <c r="S177" s="28"/>
      <c r="T177" s="28"/>
      <c r="U177" s="28"/>
      <c r="V177" s="28"/>
      <c r="W177" s="28"/>
      <c r="X177" s="28"/>
      <c r="Y177" s="28"/>
      <c r="Z177" s="28"/>
      <c r="AA177" s="1"/>
      <c r="AB177" s="1"/>
      <c r="AC177" s="42"/>
      <c r="AD177" s="63"/>
      <c r="AE177" s="38"/>
      <c r="AF177" s="38"/>
      <c r="AG177" s="38"/>
    </row>
    <row r="178" spans="1:33" x14ac:dyDescent="0.4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</row>
    <row r="179" spans="1:33" x14ac:dyDescent="0.45">
      <c r="A179" s="1"/>
      <c r="B179" s="1"/>
      <c r="C179" s="1"/>
      <c r="D179" s="1"/>
      <c r="E179" s="1"/>
      <c r="F179" s="28"/>
      <c r="G179" s="28"/>
      <c r="H179" s="28"/>
      <c r="I179" s="28"/>
      <c r="J179" s="28"/>
      <c r="K179" s="28"/>
      <c r="L179" s="28"/>
      <c r="M179" s="2"/>
      <c r="N179" s="28"/>
      <c r="O179" s="1"/>
      <c r="P179" s="1"/>
      <c r="Q179" s="1"/>
      <c r="R179" s="28"/>
      <c r="S179" s="28"/>
      <c r="T179" s="28"/>
      <c r="U179" s="28"/>
      <c r="V179" s="28"/>
      <c r="W179" s="28"/>
      <c r="X179" s="28"/>
      <c r="Y179" s="28"/>
      <c r="Z179" s="28"/>
      <c r="AA179" s="1"/>
      <c r="AB179" s="1"/>
      <c r="AC179" s="42"/>
      <c r="AD179" s="63"/>
      <c r="AE179" s="38"/>
      <c r="AF179" s="38"/>
      <c r="AG179" s="38"/>
    </row>
    <row r="180" spans="1:33" ht="14.65" thickBot="1" x14ac:dyDescent="0.5">
      <c r="A180" s="1"/>
      <c r="B180" s="1"/>
      <c r="C180" s="1"/>
      <c r="D180" s="1"/>
      <c r="E180" s="1"/>
      <c r="F180" s="28"/>
      <c r="G180" s="28"/>
      <c r="H180" s="28"/>
      <c r="I180" s="28"/>
      <c r="J180" s="28"/>
      <c r="K180" s="28"/>
      <c r="L180" s="28"/>
      <c r="M180" s="41"/>
      <c r="N180" s="28"/>
      <c r="O180" s="1"/>
      <c r="P180" s="1"/>
      <c r="Q180" s="1"/>
      <c r="R180" s="28"/>
      <c r="S180" s="28"/>
      <c r="T180" s="28"/>
      <c r="U180" s="28"/>
      <c r="V180" s="28"/>
      <c r="W180" s="28"/>
      <c r="X180" s="28"/>
      <c r="Y180" s="28"/>
      <c r="Z180" s="28"/>
      <c r="AA180" s="1"/>
      <c r="AB180" s="1"/>
      <c r="AC180" s="42"/>
      <c r="AD180" s="63"/>
      <c r="AE180" s="38"/>
      <c r="AF180" s="38"/>
      <c r="AG180" s="38"/>
    </row>
    <row r="181" spans="1:33" x14ac:dyDescent="0.4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</row>
    <row r="182" spans="1:33" x14ac:dyDescent="0.45">
      <c r="A182" s="1"/>
      <c r="B182" s="1"/>
      <c r="C182" s="1"/>
      <c r="D182" s="1"/>
      <c r="E182" s="1"/>
      <c r="F182" s="28"/>
      <c r="G182" s="28"/>
      <c r="H182" s="28"/>
      <c r="I182" s="28"/>
      <c r="J182" s="28"/>
      <c r="K182" s="28"/>
      <c r="L182" s="28"/>
      <c r="M182" s="2"/>
      <c r="N182" s="28"/>
      <c r="O182" s="1"/>
      <c r="P182" s="1"/>
      <c r="Q182" s="1"/>
      <c r="R182" s="28"/>
      <c r="S182" s="28"/>
      <c r="T182" s="28"/>
      <c r="U182" s="28"/>
      <c r="V182" s="28"/>
      <c r="W182" s="28"/>
      <c r="X182" s="28"/>
      <c r="Y182" s="28"/>
      <c r="Z182" s="28"/>
      <c r="AA182" s="1"/>
      <c r="AB182" s="1"/>
      <c r="AC182" s="42"/>
      <c r="AD182" s="63"/>
      <c r="AE182" s="38"/>
      <c r="AF182" s="38"/>
      <c r="AG182" s="38"/>
    </row>
    <row r="183" spans="1:33" x14ac:dyDescent="0.45">
      <c r="A183" s="1"/>
      <c r="B183" s="1"/>
      <c r="C183" s="1"/>
      <c r="D183" s="1"/>
      <c r="E183" s="1"/>
      <c r="F183" s="28"/>
      <c r="G183" s="28"/>
      <c r="H183" s="28"/>
      <c r="I183" s="28"/>
      <c r="J183" s="28"/>
      <c r="K183" s="28"/>
      <c r="L183" s="28"/>
      <c r="M183" s="2"/>
      <c r="N183" s="28"/>
      <c r="O183" s="1"/>
      <c r="P183" s="1"/>
      <c r="Q183" s="1"/>
      <c r="R183" s="28"/>
      <c r="S183" s="28"/>
      <c r="T183" s="28"/>
      <c r="U183" s="28"/>
      <c r="V183" s="28"/>
      <c r="W183" s="28"/>
      <c r="X183" s="28"/>
      <c r="Y183" s="28"/>
      <c r="Z183" s="28"/>
      <c r="AA183" s="1"/>
      <c r="AB183" s="1"/>
      <c r="AC183" s="42"/>
      <c r="AD183" s="63"/>
      <c r="AE183" s="38"/>
      <c r="AF183" s="38"/>
      <c r="AG183" s="38"/>
    </row>
    <row r="184" spans="1:33" x14ac:dyDescent="0.4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</row>
    <row r="185" spans="1:33" x14ac:dyDescent="0.45">
      <c r="A185" s="1"/>
      <c r="B185" s="1"/>
      <c r="C185" s="1"/>
      <c r="D185" s="1"/>
      <c r="E185" s="1"/>
      <c r="F185" s="28"/>
      <c r="G185" s="28"/>
      <c r="H185" s="28"/>
      <c r="I185" s="28"/>
      <c r="J185" s="28"/>
      <c r="K185" s="28"/>
      <c r="L185" s="28"/>
      <c r="M185" s="2"/>
      <c r="N185" s="28"/>
      <c r="O185" s="1"/>
      <c r="P185" s="1"/>
      <c r="Q185" s="1"/>
      <c r="R185" s="28"/>
      <c r="S185" s="28"/>
      <c r="T185" s="28"/>
      <c r="U185" s="28"/>
      <c r="V185" s="28"/>
      <c r="W185" s="28"/>
      <c r="X185" s="28"/>
      <c r="Y185" s="28"/>
      <c r="Z185" s="28"/>
      <c r="AA185" s="1"/>
      <c r="AB185" s="1"/>
      <c r="AC185" s="42"/>
      <c r="AD185" s="63"/>
      <c r="AE185" s="38"/>
      <c r="AF185" s="38"/>
      <c r="AG185" s="38"/>
    </row>
    <row r="186" spans="1:33" x14ac:dyDescent="0.45">
      <c r="A186" s="1"/>
      <c r="B186" s="1"/>
      <c r="C186" s="1"/>
      <c r="D186" s="1"/>
      <c r="E186" s="1"/>
      <c r="F186" s="28"/>
      <c r="G186" s="28"/>
      <c r="H186" s="28"/>
      <c r="I186" s="28"/>
      <c r="J186" s="28"/>
      <c r="K186" s="28"/>
      <c r="L186" s="28"/>
      <c r="M186" s="2"/>
      <c r="N186" s="28"/>
      <c r="O186" s="1"/>
      <c r="P186" s="1"/>
      <c r="Q186" s="1"/>
      <c r="R186" s="28"/>
      <c r="S186" s="28"/>
      <c r="T186" s="28"/>
      <c r="U186" s="28"/>
      <c r="V186" s="28"/>
      <c r="W186" s="28"/>
      <c r="X186" s="28"/>
      <c r="Y186" s="28"/>
      <c r="Z186" s="28"/>
      <c r="AA186" s="1"/>
      <c r="AB186" s="1"/>
      <c r="AC186" s="42"/>
      <c r="AD186" s="63"/>
      <c r="AE186" s="38"/>
      <c r="AF186" s="38"/>
      <c r="AG186" s="38"/>
    </row>
    <row r="187" spans="1:33" x14ac:dyDescent="0.4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</row>
    <row r="188" spans="1:33" ht="14.65" thickBot="1" x14ac:dyDescent="0.5">
      <c r="A188" s="1"/>
      <c r="B188" s="1"/>
      <c r="C188" s="1"/>
      <c r="D188" s="1"/>
      <c r="E188" s="1"/>
      <c r="F188" s="28"/>
      <c r="G188" s="28"/>
      <c r="H188" s="28"/>
      <c r="I188" s="28"/>
      <c r="J188" s="28"/>
      <c r="K188" s="28"/>
      <c r="L188" s="28"/>
      <c r="M188" s="41"/>
      <c r="N188" s="28"/>
      <c r="O188" s="1"/>
      <c r="P188" s="1"/>
      <c r="Q188" s="1"/>
      <c r="R188" s="28"/>
      <c r="S188" s="28"/>
      <c r="T188" s="28"/>
      <c r="U188" s="28"/>
      <c r="V188" s="28"/>
      <c r="W188" s="28"/>
      <c r="X188" s="28"/>
      <c r="Y188" s="28"/>
      <c r="Z188" s="28"/>
      <c r="AA188" s="1"/>
      <c r="AB188" s="1"/>
      <c r="AC188" s="42"/>
      <c r="AD188" s="63"/>
      <c r="AE188" s="38"/>
      <c r="AF188" s="38"/>
      <c r="AG188" s="38"/>
    </row>
    <row r="189" spans="1:33" x14ac:dyDescent="0.45">
      <c r="A189" s="1"/>
      <c r="B189" s="1"/>
      <c r="C189" s="1"/>
      <c r="D189" s="1"/>
      <c r="E189" s="1"/>
      <c r="F189" s="28"/>
      <c r="G189" s="28"/>
      <c r="H189" s="28"/>
      <c r="I189" s="28"/>
      <c r="J189" s="28"/>
      <c r="K189" s="28"/>
      <c r="L189" s="28"/>
      <c r="M189" s="2"/>
      <c r="N189" s="28"/>
      <c r="O189" s="1"/>
      <c r="P189" s="1"/>
      <c r="Q189" s="1"/>
      <c r="R189" s="28"/>
      <c r="S189" s="28"/>
      <c r="T189" s="28"/>
      <c r="U189" s="28"/>
      <c r="V189" s="28"/>
      <c r="W189" s="28"/>
      <c r="X189" s="28"/>
      <c r="Y189" s="28"/>
      <c r="Z189" s="28"/>
      <c r="AA189" s="1"/>
      <c r="AB189" s="1"/>
      <c r="AC189" s="42"/>
      <c r="AD189" s="63"/>
      <c r="AE189" s="38"/>
      <c r="AF189" s="38"/>
      <c r="AG189" s="38"/>
    </row>
    <row r="190" spans="1:33" x14ac:dyDescent="0.4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</row>
    <row r="191" spans="1:33" x14ac:dyDescent="0.45">
      <c r="A191" s="1"/>
      <c r="B191" s="1"/>
      <c r="C191" s="7"/>
      <c r="D191" s="7"/>
      <c r="E191" s="7"/>
      <c r="F191" s="10"/>
      <c r="G191" s="10"/>
      <c r="H191" s="10"/>
      <c r="I191" s="10"/>
      <c r="J191" s="12"/>
      <c r="K191" s="12"/>
      <c r="L191" s="12"/>
      <c r="M191" s="2"/>
      <c r="N191" s="12"/>
      <c r="O191" s="7"/>
      <c r="P191" s="7"/>
      <c r="Q191" s="7"/>
      <c r="R191" s="12"/>
      <c r="S191" s="12"/>
      <c r="T191" s="12"/>
      <c r="U191" s="12"/>
      <c r="V191" s="10"/>
      <c r="W191" s="12"/>
      <c r="X191" s="10"/>
      <c r="Y191" s="12"/>
      <c r="Z191" s="12"/>
      <c r="AA191" s="7"/>
      <c r="AB191" s="7"/>
      <c r="AC191" s="43"/>
      <c r="AD191" s="63"/>
      <c r="AE191" s="38"/>
      <c r="AF191" s="38"/>
      <c r="AG191" s="38"/>
    </row>
    <row r="192" spans="1:33" ht="14.65" thickBot="1" x14ac:dyDescent="0.5">
      <c r="A192" s="1"/>
      <c r="B192" s="1"/>
      <c r="C192" s="4"/>
      <c r="D192" s="4"/>
      <c r="E192" s="4"/>
      <c r="F192" s="28"/>
      <c r="G192" s="28"/>
      <c r="H192" s="28"/>
      <c r="I192" s="28"/>
      <c r="J192" s="28"/>
      <c r="K192" s="23"/>
      <c r="L192" s="23"/>
      <c r="M192" s="41"/>
      <c r="N192" s="12"/>
      <c r="O192" s="1"/>
      <c r="P192" s="1"/>
      <c r="Q192" s="1"/>
      <c r="R192" s="28"/>
      <c r="S192" s="23"/>
      <c r="T192" s="23"/>
      <c r="U192" s="28"/>
      <c r="V192" s="28"/>
      <c r="W192" s="28"/>
      <c r="X192" s="28"/>
      <c r="Y192" s="28"/>
      <c r="Z192" s="23"/>
      <c r="AA192" s="4"/>
      <c r="AB192" s="4"/>
      <c r="AC192" s="44"/>
      <c r="AD192" s="63"/>
      <c r="AE192" s="38"/>
      <c r="AF192" s="38"/>
      <c r="AG192" s="38"/>
    </row>
    <row r="193" spans="1:33" x14ac:dyDescent="0.4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</row>
    <row r="194" spans="1:33" x14ac:dyDescent="0.45">
      <c r="A194" s="1"/>
      <c r="B194" s="1"/>
      <c r="C194" s="1"/>
      <c r="D194" s="1"/>
      <c r="E194" s="1"/>
      <c r="F194" s="28"/>
      <c r="G194" s="28"/>
      <c r="H194" s="28"/>
      <c r="I194" s="28"/>
      <c r="J194" s="23"/>
      <c r="K194" s="28"/>
      <c r="L194" s="23"/>
      <c r="M194" s="2"/>
      <c r="N194" s="12"/>
      <c r="O194" s="1"/>
      <c r="P194" s="1"/>
      <c r="Q194" s="1"/>
      <c r="R194" s="28"/>
      <c r="S194" s="23"/>
      <c r="T194" s="28"/>
      <c r="U194" s="23"/>
      <c r="V194" s="28"/>
      <c r="W194" s="28"/>
      <c r="X194" s="28"/>
      <c r="Y194" s="28"/>
      <c r="Z194" s="23"/>
      <c r="AA194" s="4"/>
      <c r="AB194" s="4"/>
      <c r="AC194" s="44"/>
      <c r="AD194" s="63"/>
      <c r="AE194" s="38"/>
      <c r="AF194" s="38"/>
      <c r="AG194" s="38"/>
    </row>
    <row r="195" spans="1:33" ht="14.65" thickBot="1" x14ac:dyDescent="0.5">
      <c r="A195" s="1"/>
      <c r="B195" s="1"/>
      <c r="C195" s="1"/>
      <c r="D195" s="1"/>
      <c r="E195" s="1"/>
      <c r="F195" s="28"/>
      <c r="G195" s="10"/>
      <c r="H195" s="10"/>
      <c r="I195" s="10"/>
      <c r="J195" s="12"/>
      <c r="K195" s="12"/>
      <c r="L195" s="12"/>
      <c r="M195" s="41"/>
      <c r="N195" s="12"/>
      <c r="O195" s="7"/>
      <c r="P195" s="7"/>
      <c r="Q195" s="7"/>
      <c r="R195" s="12"/>
      <c r="S195" s="12"/>
      <c r="T195" s="28"/>
      <c r="U195" s="12"/>
      <c r="V195" s="10"/>
      <c r="W195" s="12"/>
      <c r="X195" s="10"/>
      <c r="Y195" s="12"/>
      <c r="Z195" s="12"/>
      <c r="AA195" s="7"/>
      <c r="AB195" s="7"/>
      <c r="AC195" s="43"/>
      <c r="AD195" s="63"/>
      <c r="AE195" s="38"/>
      <c r="AF195" s="38"/>
      <c r="AG195" s="38"/>
    </row>
    <row r="196" spans="1:33" x14ac:dyDescent="0.4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</row>
    <row r="197" spans="1:33" x14ac:dyDescent="0.45">
      <c r="A197" s="1"/>
      <c r="B197" s="1"/>
      <c r="C197" s="4"/>
      <c r="D197" s="4"/>
      <c r="E197" s="4"/>
      <c r="F197" s="28"/>
      <c r="G197" s="28"/>
      <c r="H197" s="28"/>
      <c r="I197" s="28"/>
      <c r="J197" s="28"/>
      <c r="K197" s="28"/>
      <c r="L197" s="28"/>
      <c r="M197" s="2"/>
      <c r="N197" s="12"/>
      <c r="O197" s="1"/>
      <c r="P197" s="1"/>
      <c r="Q197" s="1"/>
      <c r="R197" s="28"/>
      <c r="S197" s="28"/>
      <c r="T197" s="28"/>
      <c r="U197" s="28"/>
      <c r="V197" s="28"/>
      <c r="W197" s="28"/>
      <c r="X197" s="28"/>
      <c r="Y197" s="28"/>
      <c r="Z197" s="23"/>
      <c r="AA197" s="4"/>
      <c r="AB197" s="4"/>
      <c r="AC197" s="44"/>
      <c r="AD197" s="63"/>
      <c r="AE197" s="38"/>
      <c r="AF197" s="38"/>
      <c r="AG197" s="38"/>
    </row>
    <row r="198" spans="1:33" x14ac:dyDescent="0.45">
      <c r="A198" s="1"/>
      <c r="B198" s="1"/>
      <c r="C198" s="4"/>
      <c r="D198" s="1"/>
      <c r="E198" s="4"/>
      <c r="F198" s="28"/>
      <c r="G198" s="28"/>
      <c r="H198" s="28"/>
      <c r="I198" s="28"/>
      <c r="J198" s="28"/>
      <c r="K198" s="28"/>
      <c r="L198" s="28"/>
      <c r="M198" s="2"/>
      <c r="N198" s="12"/>
      <c r="O198" s="1"/>
      <c r="P198" s="1"/>
      <c r="Q198" s="1"/>
      <c r="R198" s="28"/>
      <c r="S198" s="28"/>
      <c r="T198" s="28"/>
      <c r="U198" s="28"/>
      <c r="V198" s="28"/>
      <c r="W198" s="28"/>
      <c r="X198" s="28"/>
      <c r="Y198" s="28"/>
      <c r="Z198" s="23"/>
      <c r="AA198" s="4"/>
      <c r="AB198" s="4"/>
      <c r="AC198" s="44"/>
      <c r="AD198" s="63"/>
      <c r="AE198" s="38"/>
      <c r="AF198" s="38"/>
      <c r="AG198" s="38"/>
    </row>
    <row r="199" spans="1:33" x14ac:dyDescent="0.4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</row>
    <row r="200" spans="1:33" x14ac:dyDescent="0.45">
      <c r="A200" s="1"/>
      <c r="B200" s="1"/>
      <c r="C200" s="7"/>
      <c r="D200" s="7"/>
      <c r="E200" s="7"/>
      <c r="F200" s="10"/>
      <c r="G200" s="10"/>
      <c r="H200" s="10"/>
      <c r="I200" s="10"/>
      <c r="J200" s="12"/>
      <c r="K200" s="12"/>
      <c r="L200" s="12"/>
      <c r="M200" s="2"/>
      <c r="N200" s="12"/>
      <c r="O200" s="7"/>
      <c r="P200" s="9"/>
      <c r="Q200" s="9"/>
      <c r="R200" s="10"/>
      <c r="S200" s="12"/>
      <c r="T200" s="12"/>
      <c r="U200" s="12"/>
      <c r="V200" s="10"/>
      <c r="W200" s="10"/>
      <c r="X200" s="10"/>
      <c r="Y200" s="12"/>
      <c r="Z200" s="12"/>
      <c r="AA200" s="7"/>
      <c r="AB200" s="7"/>
      <c r="AC200" s="43"/>
      <c r="AD200" s="63"/>
      <c r="AE200" s="38"/>
      <c r="AF200" s="38"/>
      <c r="AG200" s="38"/>
    </row>
    <row r="201" spans="1:33" x14ac:dyDescent="0.45">
      <c r="A201" s="1"/>
      <c r="B201" s="1"/>
      <c r="C201" s="4"/>
      <c r="D201" s="4"/>
      <c r="E201" s="4"/>
      <c r="F201" s="28"/>
      <c r="G201" s="28"/>
      <c r="H201" s="28"/>
      <c r="I201" s="28"/>
      <c r="J201" s="23"/>
      <c r="K201" s="23"/>
      <c r="L201" s="23"/>
      <c r="M201" s="2"/>
      <c r="N201" s="12"/>
      <c r="O201" s="1"/>
      <c r="P201" s="1"/>
      <c r="Q201" s="1"/>
      <c r="R201" s="28"/>
      <c r="S201" s="23"/>
      <c r="T201" s="23"/>
      <c r="U201" s="23"/>
      <c r="V201" s="28"/>
      <c r="W201" s="28"/>
      <c r="X201" s="28"/>
      <c r="Y201" s="28"/>
      <c r="Z201" s="23"/>
      <c r="AA201" s="4"/>
      <c r="AB201" s="4"/>
      <c r="AC201" s="44"/>
      <c r="AD201" s="63"/>
      <c r="AE201" s="38"/>
      <c r="AF201" s="38"/>
      <c r="AG201" s="38"/>
    </row>
    <row r="202" spans="1:33" x14ac:dyDescent="0.4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</row>
    <row r="203" spans="1:33" ht="14.65" thickBot="1" x14ac:dyDescent="0.5">
      <c r="A203" s="1"/>
      <c r="B203" s="1"/>
      <c r="C203" s="7"/>
      <c r="D203" s="7"/>
      <c r="E203" s="7"/>
      <c r="F203" s="10"/>
      <c r="G203" s="10"/>
      <c r="H203" s="10"/>
      <c r="I203" s="10"/>
      <c r="J203" s="12"/>
      <c r="K203" s="12"/>
      <c r="L203" s="12"/>
      <c r="M203" s="41"/>
      <c r="N203" s="12"/>
      <c r="O203" s="7"/>
      <c r="P203" s="7"/>
      <c r="Q203" s="7"/>
      <c r="R203" s="12"/>
      <c r="S203" s="12"/>
      <c r="T203" s="12"/>
      <c r="U203" s="12"/>
      <c r="V203" s="10"/>
      <c r="W203" s="12"/>
      <c r="X203" s="10"/>
      <c r="Y203" s="12"/>
      <c r="Z203" s="12"/>
      <c r="AA203" s="7"/>
      <c r="AB203" s="7"/>
      <c r="AC203" s="43"/>
      <c r="AD203" s="63"/>
      <c r="AE203" s="38"/>
      <c r="AF203" s="38"/>
      <c r="AG203" s="38"/>
    </row>
    <row r="204" spans="1:33" x14ac:dyDescent="0.45">
      <c r="A204" s="1"/>
      <c r="B204" s="1"/>
      <c r="C204" s="4"/>
      <c r="D204" s="4"/>
      <c r="E204" s="4"/>
      <c r="F204" s="28"/>
      <c r="G204" s="28"/>
      <c r="H204" s="28"/>
      <c r="I204" s="28"/>
      <c r="J204" s="28"/>
      <c r="K204" s="23"/>
      <c r="L204" s="23"/>
      <c r="M204" s="2"/>
      <c r="N204" s="12"/>
      <c r="O204" s="1"/>
      <c r="P204" s="1"/>
      <c r="Q204" s="1"/>
      <c r="R204" s="28"/>
      <c r="S204" s="28"/>
      <c r="T204" s="28"/>
      <c r="U204" s="28"/>
      <c r="V204" s="28"/>
      <c r="W204" s="28"/>
      <c r="X204" s="28"/>
      <c r="Y204" s="28"/>
      <c r="Z204" s="23"/>
      <c r="AA204" s="4"/>
      <c r="AB204" s="4"/>
      <c r="AC204" s="44"/>
      <c r="AD204" s="63"/>
      <c r="AE204" s="38"/>
      <c r="AF204" s="38"/>
      <c r="AG204" s="38"/>
    </row>
    <row r="205" spans="1:33" x14ac:dyDescent="0.4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</row>
    <row r="206" spans="1:33" x14ac:dyDescent="0.45">
      <c r="A206" s="1"/>
      <c r="B206" s="1"/>
      <c r="C206" s="1"/>
      <c r="D206" s="1"/>
      <c r="E206" s="1"/>
      <c r="F206" s="28"/>
      <c r="G206" s="28"/>
      <c r="H206" s="28"/>
      <c r="I206" s="28"/>
      <c r="J206" s="23"/>
      <c r="K206" s="23"/>
      <c r="L206" s="23"/>
      <c r="M206" s="2"/>
      <c r="N206" s="12"/>
      <c r="O206" s="1"/>
      <c r="P206" s="1"/>
      <c r="Q206" s="1"/>
      <c r="R206" s="28"/>
      <c r="S206" s="28"/>
      <c r="T206" s="28"/>
      <c r="U206" s="28"/>
      <c r="V206" s="28"/>
      <c r="W206" s="28"/>
      <c r="X206" s="28"/>
      <c r="Y206" s="28"/>
      <c r="Z206" s="23"/>
      <c r="AA206" s="4"/>
      <c r="AB206" s="4"/>
      <c r="AC206" s="44"/>
      <c r="AD206" s="63"/>
      <c r="AE206" s="38"/>
      <c r="AF206" s="38"/>
      <c r="AG206" s="38"/>
    </row>
    <row r="207" spans="1:33" x14ac:dyDescent="0.45">
      <c r="A207" s="1"/>
      <c r="B207" s="1"/>
      <c r="C207" s="1"/>
      <c r="D207" s="1"/>
      <c r="E207" s="1"/>
      <c r="F207" s="28"/>
      <c r="G207" s="28"/>
      <c r="H207" s="28"/>
      <c r="I207" s="28"/>
      <c r="J207" s="28"/>
      <c r="K207" s="28"/>
      <c r="L207" s="28"/>
      <c r="M207" s="2"/>
      <c r="N207" s="28"/>
      <c r="O207" s="1"/>
      <c r="P207" s="1"/>
      <c r="Q207" s="1"/>
      <c r="R207" s="28"/>
      <c r="S207" s="28"/>
      <c r="T207" s="28"/>
      <c r="U207" s="28"/>
      <c r="V207" s="28"/>
      <c r="W207" s="28"/>
      <c r="X207" s="28"/>
      <c r="Y207" s="28"/>
      <c r="Z207" s="23"/>
      <c r="AA207" s="4"/>
      <c r="AB207" s="4"/>
      <c r="AC207" s="44"/>
      <c r="AD207" s="63"/>
      <c r="AE207" s="38"/>
      <c r="AF207" s="38"/>
      <c r="AG207" s="38"/>
    </row>
    <row r="208" spans="1:33" x14ac:dyDescent="0.4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</row>
    <row r="209" spans="1:33" x14ac:dyDescent="0.45">
      <c r="A209" s="1"/>
      <c r="B209" s="1"/>
      <c r="C209" s="4"/>
      <c r="D209" s="4"/>
      <c r="E209" s="4"/>
      <c r="F209" s="28"/>
      <c r="G209" s="28"/>
      <c r="H209" s="28"/>
      <c r="I209" s="28"/>
      <c r="J209" s="28"/>
      <c r="K209" s="28"/>
      <c r="L209" s="28"/>
      <c r="M209" s="2"/>
      <c r="N209" s="12"/>
      <c r="O209" s="1"/>
      <c r="P209" s="1"/>
      <c r="Q209" s="1"/>
      <c r="R209" s="28"/>
      <c r="S209" s="28"/>
      <c r="T209" s="28"/>
      <c r="U209" s="28"/>
      <c r="V209" s="28"/>
      <c r="W209" s="28"/>
      <c r="X209" s="28"/>
      <c r="Y209" s="28"/>
      <c r="Z209" s="23"/>
      <c r="AA209" s="4"/>
      <c r="AB209" s="4"/>
      <c r="AC209" s="44"/>
      <c r="AD209" s="63"/>
      <c r="AE209" s="38"/>
      <c r="AF209" s="38"/>
      <c r="AG209" s="38"/>
    </row>
    <row r="210" spans="1:33" x14ac:dyDescent="0.45">
      <c r="A210" s="1"/>
      <c r="B210" s="1"/>
      <c r="C210" s="4"/>
      <c r="D210" s="1"/>
      <c r="E210" s="1"/>
      <c r="F210" s="28"/>
      <c r="G210" s="28"/>
      <c r="H210" s="28"/>
      <c r="I210" s="28"/>
      <c r="J210" s="28"/>
      <c r="K210" s="28"/>
      <c r="L210" s="28"/>
      <c r="M210" s="2"/>
      <c r="N210" s="12"/>
      <c r="O210" s="1"/>
      <c r="P210" s="1"/>
      <c r="Q210" s="1"/>
      <c r="R210" s="28"/>
      <c r="S210" s="28"/>
      <c r="T210" s="28"/>
      <c r="U210" s="28"/>
      <c r="V210" s="28"/>
      <c r="W210" s="28"/>
      <c r="X210" s="28"/>
      <c r="Y210" s="28"/>
      <c r="Z210" s="23"/>
      <c r="AA210" s="4"/>
      <c r="AB210" s="4"/>
      <c r="AC210" s="44"/>
      <c r="AD210" s="63"/>
      <c r="AE210" s="38"/>
      <c r="AF210" s="38"/>
      <c r="AG210" s="38"/>
    </row>
    <row r="211" spans="1:33" x14ac:dyDescent="0.4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</row>
    <row r="212" spans="1:33" x14ac:dyDescent="0.45">
      <c r="A212" s="1"/>
      <c r="B212" s="1"/>
      <c r="C212" s="1"/>
      <c r="D212" s="1"/>
      <c r="E212" s="1"/>
      <c r="F212" s="28"/>
      <c r="G212" s="28"/>
      <c r="H212" s="28"/>
      <c r="I212" s="28"/>
      <c r="J212" s="23"/>
      <c r="K212" s="23"/>
      <c r="L212" s="23"/>
      <c r="M212" s="2"/>
      <c r="N212" s="12"/>
      <c r="O212" s="1"/>
      <c r="P212" s="1"/>
      <c r="Q212" s="1"/>
      <c r="R212" s="28"/>
      <c r="S212" s="28"/>
      <c r="T212" s="28"/>
      <c r="U212" s="28"/>
      <c r="V212" s="28"/>
      <c r="W212" s="28"/>
      <c r="X212" s="28"/>
      <c r="Y212" s="28"/>
      <c r="Z212" s="23"/>
      <c r="AA212" s="4"/>
      <c r="AB212" s="4"/>
      <c r="AC212" s="44"/>
      <c r="AD212" s="63"/>
      <c r="AE212" s="38"/>
      <c r="AF212" s="38"/>
      <c r="AG212" s="38"/>
    </row>
    <row r="213" spans="1:33" ht="14.65" thickBot="1" x14ac:dyDescent="0.5">
      <c r="A213" s="1"/>
      <c r="B213" s="1"/>
      <c r="C213" s="1"/>
      <c r="D213" s="1"/>
      <c r="E213" s="1"/>
      <c r="F213" s="28"/>
      <c r="G213" s="28"/>
      <c r="H213" s="28"/>
      <c r="I213" s="28"/>
      <c r="J213" s="23"/>
      <c r="K213" s="23"/>
      <c r="L213" s="23"/>
      <c r="M213" s="41"/>
      <c r="N213" s="12"/>
      <c r="O213" s="1"/>
      <c r="P213" s="1"/>
      <c r="Q213" s="1"/>
      <c r="R213" s="28"/>
      <c r="S213" s="28"/>
      <c r="T213" s="28"/>
      <c r="U213" s="28"/>
      <c r="V213" s="28"/>
      <c r="W213" s="28"/>
      <c r="X213" s="28"/>
      <c r="Y213" s="28"/>
      <c r="Z213" s="23"/>
      <c r="AA213" s="4"/>
      <c r="AB213" s="4"/>
      <c r="AC213" s="44"/>
      <c r="AD213" s="63"/>
      <c r="AE213" s="38"/>
      <c r="AF213" s="38"/>
      <c r="AG213" s="38"/>
    </row>
    <row r="214" spans="1:33" x14ac:dyDescent="0.4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</row>
    <row r="215" spans="1:33" ht="14.65" thickBot="1" x14ac:dyDescent="0.5">
      <c r="A215" s="1"/>
      <c r="B215" s="1"/>
      <c r="C215" s="7"/>
      <c r="D215" s="7"/>
      <c r="E215" s="7"/>
      <c r="F215" s="10"/>
      <c r="G215" s="10"/>
      <c r="H215" s="10"/>
      <c r="I215" s="10"/>
      <c r="J215" s="12"/>
      <c r="K215" s="12"/>
      <c r="L215" s="12"/>
      <c r="M215" s="41"/>
      <c r="N215" s="12"/>
      <c r="O215" s="7"/>
      <c r="P215" s="7"/>
      <c r="Q215" s="7"/>
      <c r="R215" s="12"/>
      <c r="S215" s="12"/>
      <c r="T215" s="12"/>
      <c r="U215" s="12"/>
      <c r="V215" s="10"/>
      <c r="W215" s="10"/>
      <c r="X215" s="10"/>
      <c r="Y215" s="12"/>
      <c r="Z215" s="12"/>
      <c r="AA215" s="7"/>
      <c r="AB215" s="7"/>
      <c r="AC215" s="43"/>
      <c r="AD215" s="63"/>
      <c r="AE215" s="38"/>
      <c r="AF215" s="38"/>
      <c r="AG215" s="38"/>
    </row>
    <row r="216" spans="1:33" x14ac:dyDescent="0.45">
      <c r="A216" s="1"/>
      <c r="B216" s="1"/>
      <c r="C216" s="4"/>
      <c r="D216" s="4"/>
      <c r="E216" s="4"/>
      <c r="F216" s="28"/>
      <c r="G216" s="28"/>
      <c r="H216" s="28"/>
      <c r="I216" s="28"/>
      <c r="J216" s="28"/>
      <c r="K216" s="28"/>
      <c r="L216" s="28"/>
      <c r="M216" s="2"/>
      <c r="N216" s="28"/>
      <c r="O216" s="1"/>
      <c r="P216" s="1"/>
      <c r="Q216" s="1"/>
      <c r="R216" s="28"/>
      <c r="S216" s="12"/>
      <c r="T216" s="23"/>
      <c r="U216" s="23"/>
      <c r="V216" s="28"/>
      <c r="W216" s="28"/>
      <c r="X216" s="28"/>
      <c r="Y216" s="28"/>
      <c r="Z216" s="23"/>
      <c r="AA216" s="4"/>
      <c r="AB216" s="4"/>
      <c r="AC216" s="44"/>
      <c r="AD216" s="63"/>
      <c r="AE216" s="38"/>
      <c r="AF216" s="38"/>
      <c r="AG216" s="38"/>
    </row>
    <row r="217" spans="1:33" x14ac:dyDescent="0.4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8"/>
      <c r="AE217" s="88"/>
      <c r="AF217" s="88"/>
      <c r="AG217" s="88"/>
    </row>
    <row r="218" spans="1:33" ht="14.65" thickBot="1" x14ac:dyDescent="0.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87"/>
      <c r="AE218" s="87"/>
      <c r="AF218" s="87"/>
      <c r="AG218" s="87"/>
    </row>
    <row r="219" spans="1:33" ht="15" customHeight="1" x14ac:dyDescent="0.45">
      <c r="A219" s="70" t="s">
        <v>76</v>
      </c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2"/>
    </row>
    <row r="220" spans="1:33" ht="15.75" customHeight="1" thickBot="1" x14ac:dyDescent="0.5">
      <c r="A220" s="73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5"/>
    </row>
    <row r="221" spans="1:33" x14ac:dyDescent="0.45">
      <c r="A221" s="2"/>
      <c r="B221" s="2"/>
      <c r="C221" s="2"/>
      <c r="D221" s="2"/>
      <c r="E221" s="2"/>
      <c r="F221" s="25"/>
      <c r="G221" s="25"/>
      <c r="H221" s="25"/>
      <c r="I221" s="25"/>
      <c r="J221" s="25"/>
      <c r="K221" s="25"/>
      <c r="L221" s="25"/>
      <c r="M221" s="2"/>
      <c r="N221" s="25"/>
      <c r="O221" s="2"/>
      <c r="P221" s="2"/>
      <c r="Q221" s="2"/>
      <c r="R221" s="25"/>
      <c r="S221" s="25"/>
      <c r="T221" s="25"/>
      <c r="U221" s="25"/>
      <c r="V221" s="25"/>
      <c r="W221" s="25"/>
      <c r="X221" s="25"/>
      <c r="Y221" s="25"/>
      <c r="Z221" s="24"/>
      <c r="AA221" s="5"/>
      <c r="AB221" s="5"/>
      <c r="AC221" s="45"/>
      <c r="AD221" s="62"/>
      <c r="AE221" s="39"/>
      <c r="AF221" s="39"/>
      <c r="AG221" s="39"/>
    </row>
    <row r="222" spans="1:33" ht="14.65" thickBot="1" x14ac:dyDescent="0.5">
      <c r="A222" s="1"/>
      <c r="B222" s="1"/>
      <c r="C222" s="1"/>
      <c r="D222" s="1"/>
      <c r="E222" s="1"/>
      <c r="F222" s="28"/>
      <c r="G222" s="28"/>
      <c r="H222" s="28"/>
      <c r="I222" s="28"/>
      <c r="J222" s="28"/>
      <c r="K222" s="28"/>
      <c r="L222" s="28"/>
      <c r="M222" s="41"/>
      <c r="N222" s="28"/>
      <c r="O222" s="1"/>
      <c r="P222" s="1"/>
      <c r="Q222" s="1"/>
      <c r="R222" s="28"/>
      <c r="S222" s="28"/>
      <c r="T222" s="28"/>
      <c r="U222" s="28"/>
      <c r="V222" s="28"/>
      <c r="W222" s="28"/>
      <c r="X222" s="28"/>
      <c r="Y222" s="28"/>
      <c r="Z222" s="23"/>
      <c r="AA222" s="4"/>
      <c r="AB222" s="4"/>
      <c r="AC222" s="44"/>
      <c r="AD222" s="63"/>
      <c r="AE222" s="38"/>
      <c r="AF222" s="38"/>
      <c r="AG222" s="38"/>
    </row>
    <row r="223" spans="1:33" x14ac:dyDescent="0.4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</row>
    <row r="224" spans="1:33" x14ac:dyDescent="0.45">
      <c r="A224" s="1"/>
      <c r="B224" s="1"/>
      <c r="C224" s="1"/>
      <c r="D224" s="1"/>
      <c r="E224" s="1"/>
      <c r="F224" s="28"/>
      <c r="G224" s="28"/>
      <c r="H224" s="28"/>
      <c r="I224" s="28"/>
      <c r="J224" s="28"/>
      <c r="K224" s="28"/>
      <c r="L224" s="28"/>
      <c r="M224" s="2"/>
      <c r="N224" s="28"/>
      <c r="O224" s="1"/>
      <c r="P224" s="1"/>
      <c r="Q224" s="1"/>
      <c r="R224" s="28"/>
      <c r="S224" s="28"/>
      <c r="T224" s="28"/>
      <c r="U224" s="28"/>
      <c r="V224" s="10"/>
      <c r="W224" s="12"/>
      <c r="X224" s="10"/>
      <c r="Y224" s="12"/>
      <c r="Z224" s="12"/>
      <c r="AA224" s="7"/>
      <c r="AB224" s="7"/>
      <c r="AC224" s="43"/>
      <c r="AD224" s="63"/>
      <c r="AE224" s="38"/>
      <c r="AF224" s="38"/>
      <c r="AG224" s="38"/>
    </row>
    <row r="225" spans="1:33" ht="14.65" thickBot="1" x14ac:dyDescent="0.5">
      <c r="A225" s="1"/>
      <c r="B225" s="1"/>
      <c r="C225" s="1"/>
      <c r="D225" s="1"/>
      <c r="E225" s="1"/>
      <c r="F225" s="28"/>
      <c r="G225" s="28"/>
      <c r="H225" s="28"/>
      <c r="I225" s="28"/>
      <c r="J225" s="28"/>
      <c r="K225" s="28"/>
      <c r="L225" s="28"/>
      <c r="M225" s="41"/>
      <c r="N225" s="28"/>
      <c r="O225" s="1"/>
      <c r="P225" s="1"/>
      <c r="Q225" s="1"/>
      <c r="R225" s="28"/>
      <c r="S225" s="28"/>
      <c r="T225" s="28"/>
      <c r="U225" s="28"/>
      <c r="V225" s="28"/>
      <c r="W225" s="28"/>
      <c r="X225" s="28"/>
      <c r="Y225" s="28"/>
      <c r="Z225" s="23"/>
      <c r="AA225" s="4"/>
      <c r="AB225" s="4"/>
      <c r="AC225" s="44"/>
      <c r="AD225" s="63"/>
      <c r="AE225" s="38"/>
      <c r="AF225" s="38"/>
      <c r="AG225" s="38"/>
    </row>
    <row r="226" spans="1:33" x14ac:dyDescent="0.4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</row>
    <row r="227" spans="1:33" x14ac:dyDescent="0.45">
      <c r="A227" s="1"/>
      <c r="B227" s="1"/>
      <c r="C227" s="1"/>
      <c r="D227" s="1"/>
      <c r="E227" s="1"/>
      <c r="F227" s="28"/>
      <c r="G227" s="28"/>
      <c r="H227" s="28"/>
      <c r="I227" s="28"/>
      <c r="J227" s="28"/>
      <c r="K227" s="28"/>
      <c r="L227" s="28"/>
      <c r="M227" s="1"/>
      <c r="N227" s="28"/>
      <c r="O227" s="1"/>
      <c r="P227" s="1"/>
      <c r="Q227" s="1"/>
      <c r="R227" s="28"/>
      <c r="S227" s="28"/>
      <c r="T227" s="28"/>
      <c r="U227" s="28"/>
      <c r="V227" s="12"/>
      <c r="W227" s="12"/>
      <c r="X227" s="12"/>
      <c r="Y227" s="12"/>
      <c r="Z227" s="12"/>
      <c r="AA227" s="7"/>
      <c r="AB227" s="7"/>
      <c r="AC227" s="43"/>
      <c r="AD227" s="63"/>
      <c r="AE227" s="38"/>
      <c r="AF227" s="38"/>
      <c r="AG227" s="38"/>
    </row>
    <row r="228" spans="1:33" x14ac:dyDescent="0.45">
      <c r="A228" s="1"/>
      <c r="B228" s="1"/>
      <c r="C228" s="1"/>
      <c r="D228" s="1"/>
      <c r="E228" s="1"/>
      <c r="F228" s="28"/>
      <c r="G228" s="28"/>
      <c r="H228" s="28"/>
      <c r="I228" s="28"/>
      <c r="J228" s="28"/>
      <c r="K228" s="28"/>
      <c r="L228" s="28"/>
      <c r="M228" s="2"/>
      <c r="N228" s="28"/>
      <c r="O228" s="1"/>
      <c r="P228" s="1"/>
      <c r="Q228" s="1"/>
      <c r="R228" s="28"/>
      <c r="S228" s="28"/>
      <c r="T228" s="28"/>
      <c r="U228" s="28"/>
      <c r="V228" s="28"/>
      <c r="W228" s="28"/>
      <c r="X228" s="28"/>
      <c r="Y228" s="28"/>
      <c r="Z228" s="23"/>
      <c r="AA228" s="4"/>
      <c r="AB228" s="4"/>
      <c r="AC228" s="44"/>
      <c r="AD228" s="63"/>
      <c r="AE228" s="38"/>
      <c r="AF228" s="38"/>
      <c r="AG228" s="38"/>
    </row>
    <row r="229" spans="1:33" x14ac:dyDescent="0.4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</row>
    <row r="230" spans="1:33" x14ac:dyDescent="0.45">
      <c r="A230" s="1"/>
      <c r="B230" s="1"/>
      <c r="C230" s="1"/>
      <c r="D230" s="1"/>
      <c r="E230" s="1"/>
      <c r="F230" s="28"/>
      <c r="G230" s="28"/>
      <c r="H230" s="28"/>
      <c r="I230" s="28"/>
      <c r="J230" s="28"/>
      <c r="K230" s="28"/>
      <c r="L230" s="28"/>
      <c r="M230" s="2"/>
      <c r="N230" s="28"/>
      <c r="O230" s="1"/>
      <c r="P230" s="1"/>
      <c r="Q230" s="1"/>
      <c r="R230" s="28"/>
      <c r="S230" s="28"/>
      <c r="T230" s="28"/>
      <c r="U230" s="28"/>
      <c r="V230" s="28"/>
      <c r="W230" s="28"/>
      <c r="X230" s="28"/>
      <c r="Y230" s="12"/>
      <c r="Z230" s="12"/>
      <c r="AA230" s="7"/>
      <c r="AB230" s="7"/>
      <c r="AC230" s="43"/>
      <c r="AD230" s="63"/>
      <c r="AE230" s="38"/>
      <c r="AF230" s="38"/>
      <c r="AG230" s="38"/>
    </row>
    <row r="231" spans="1:33" x14ac:dyDescent="0.45">
      <c r="A231" s="1"/>
      <c r="B231" s="1"/>
      <c r="C231" s="1"/>
      <c r="D231" s="1"/>
      <c r="E231" s="1"/>
      <c r="F231" s="28"/>
      <c r="G231" s="28"/>
      <c r="H231" s="28"/>
      <c r="I231" s="28"/>
      <c r="J231" s="28"/>
      <c r="K231" s="28"/>
      <c r="L231" s="28"/>
      <c r="M231" s="2"/>
      <c r="N231" s="28"/>
      <c r="O231" s="1"/>
      <c r="P231" s="1"/>
      <c r="Q231" s="1"/>
      <c r="R231" s="28"/>
      <c r="S231" s="28"/>
      <c r="T231" s="28"/>
      <c r="U231" s="28"/>
      <c r="V231" s="28"/>
      <c r="W231" s="28"/>
      <c r="X231" s="28"/>
      <c r="Y231" s="12"/>
      <c r="Z231" s="12"/>
      <c r="AA231" s="7"/>
      <c r="AB231" s="7"/>
      <c r="AC231" s="43"/>
      <c r="AD231" s="63"/>
      <c r="AE231" s="38"/>
      <c r="AF231" s="38"/>
      <c r="AG231" s="38"/>
    </row>
    <row r="232" spans="1:33" x14ac:dyDescent="0.4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</row>
    <row r="233" spans="1:33" x14ac:dyDescent="0.45">
      <c r="A233" s="1"/>
      <c r="B233" s="1"/>
      <c r="C233" s="7"/>
      <c r="D233" s="7"/>
      <c r="E233" s="7"/>
      <c r="F233" s="12"/>
      <c r="G233" s="12"/>
      <c r="H233" s="12"/>
      <c r="I233" s="12"/>
      <c r="J233" s="12"/>
      <c r="K233" s="12"/>
      <c r="L233" s="12"/>
      <c r="M233" s="2"/>
      <c r="N233" s="12"/>
      <c r="O233" s="7"/>
      <c r="P233" s="7"/>
      <c r="Q233" s="7"/>
      <c r="R233" s="12"/>
      <c r="S233" s="12"/>
      <c r="T233" s="12"/>
      <c r="U233" s="12"/>
      <c r="V233" s="10"/>
      <c r="W233" s="12"/>
      <c r="X233" s="10"/>
      <c r="Y233" s="12"/>
      <c r="Z233" s="12"/>
      <c r="AA233" s="7"/>
      <c r="AB233" s="7"/>
      <c r="AC233" s="43"/>
      <c r="AD233" s="63"/>
      <c r="AE233" s="38"/>
      <c r="AF233" s="38"/>
      <c r="AG233" s="38"/>
    </row>
    <row r="234" spans="1:33" x14ac:dyDescent="0.45">
      <c r="A234" s="1"/>
      <c r="B234" s="1"/>
      <c r="C234" s="7"/>
      <c r="D234" s="7"/>
      <c r="E234" s="7"/>
      <c r="F234" s="10"/>
      <c r="G234" s="10"/>
      <c r="H234" s="10"/>
      <c r="I234" s="10"/>
      <c r="J234" s="12"/>
      <c r="K234" s="12"/>
      <c r="L234" s="12"/>
      <c r="M234" s="2"/>
      <c r="N234" s="12"/>
      <c r="O234" s="7"/>
      <c r="P234" s="7"/>
      <c r="Q234" s="7"/>
      <c r="R234" s="12"/>
      <c r="S234" s="12"/>
      <c r="T234" s="12"/>
      <c r="U234" s="12"/>
      <c r="V234" s="10"/>
      <c r="W234" s="12"/>
      <c r="X234" s="10"/>
      <c r="Y234" s="12"/>
      <c r="Z234" s="12"/>
      <c r="AA234" s="7"/>
      <c r="AB234" s="7"/>
      <c r="AC234" s="43"/>
      <c r="AD234" s="63"/>
      <c r="AE234" s="38"/>
      <c r="AF234" s="38"/>
      <c r="AG234" s="38"/>
    </row>
    <row r="235" spans="1:33" x14ac:dyDescent="0.4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</row>
    <row r="236" spans="1:33" x14ac:dyDescent="0.45">
      <c r="A236" s="1"/>
      <c r="B236" s="1"/>
      <c r="C236" s="1"/>
      <c r="D236" s="1"/>
      <c r="E236" s="1"/>
      <c r="F236" s="28"/>
      <c r="G236" s="28"/>
      <c r="H236" s="28"/>
      <c r="I236" s="28"/>
      <c r="J236" s="28"/>
      <c r="K236" s="28"/>
      <c r="L236" s="28"/>
      <c r="M236" s="2"/>
      <c r="N236" s="28"/>
      <c r="O236" s="1"/>
      <c r="P236" s="1"/>
      <c r="Q236" s="1"/>
      <c r="R236" s="28"/>
      <c r="S236" s="28"/>
      <c r="T236" s="28"/>
      <c r="U236" s="28"/>
      <c r="V236" s="10"/>
      <c r="W236" s="10"/>
      <c r="X236" s="10"/>
      <c r="Y236" s="12"/>
      <c r="Z236" s="12"/>
      <c r="AA236" s="7"/>
      <c r="AB236" s="7"/>
      <c r="AC236" s="43"/>
      <c r="AD236" s="63"/>
      <c r="AE236" s="38"/>
      <c r="AF236" s="38"/>
      <c r="AG236" s="38"/>
    </row>
    <row r="237" spans="1:33" x14ac:dyDescent="0.45">
      <c r="A237" s="1"/>
      <c r="B237" s="1"/>
      <c r="C237" s="1"/>
      <c r="D237" s="1"/>
      <c r="E237" s="1"/>
      <c r="F237" s="28"/>
      <c r="G237" s="28"/>
      <c r="H237" s="28"/>
      <c r="I237" s="28"/>
      <c r="J237" s="28"/>
      <c r="K237" s="28"/>
      <c r="L237" s="28"/>
      <c r="M237" s="2"/>
      <c r="N237" s="28"/>
      <c r="O237" s="1"/>
      <c r="P237" s="1"/>
      <c r="Q237" s="1"/>
      <c r="R237" s="28"/>
      <c r="S237" s="28"/>
      <c r="T237" s="28"/>
      <c r="U237" s="28"/>
      <c r="V237" s="28"/>
      <c r="W237" s="28"/>
      <c r="X237" s="28"/>
      <c r="Y237" s="28"/>
      <c r="Z237" s="23"/>
      <c r="AA237" s="4"/>
      <c r="AB237" s="4"/>
      <c r="AC237" s="44"/>
      <c r="AD237" s="63"/>
      <c r="AE237" s="38"/>
      <c r="AF237" s="38"/>
      <c r="AG237" s="38"/>
    </row>
    <row r="238" spans="1:33" x14ac:dyDescent="0.4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</row>
    <row r="239" spans="1:33" ht="14.65" thickBot="1" x14ac:dyDescent="0.5">
      <c r="A239" s="1"/>
      <c r="B239" s="1"/>
      <c r="C239" s="4"/>
      <c r="D239" s="4"/>
      <c r="E239" s="4"/>
      <c r="F239" s="28"/>
      <c r="G239" s="28"/>
      <c r="H239" s="28"/>
      <c r="I239" s="28"/>
      <c r="J239" s="23"/>
      <c r="K239" s="23"/>
      <c r="L239" s="23"/>
      <c r="M239" s="41"/>
      <c r="N239" s="12"/>
      <c r="O239" s="1"/>
      <c r="P239" s="1"/>
      <c r="Q239" s="1"/>
      <c r="R239" s="28"/>
      <c r="S239" s="28"/>
      <c r="T239" s="28"/>
      <c r="U239" s="28"/>
      <c r="V239" s="28"/>
      <c r="W239" s="28"/>
      <c r="X239" s="28"/>
      <c r="Y239" s="28"/>
      <c r="Z239" s="23"/>
      <c r="AA239" s="4"/>
      <c r="AB239" s="4"/>
      <c r="AC239" s="44"/>
      <c r="AD239" s="63"/>
      <c r="AE239" s="38"/>
      <c r="AF239" s="38"/>
      <c r="AG239" s="38"/>
    </row>
    <row r="240" spans="1:33" x14ac:dyDescent="0.45">
      <c r="A240" s="1"/>
      <c r="B240" s="1"/>
      <c r="C240" s="7"/>
      <c r="D240" s="7"/>
      <c r="E240" s="7"/>
      <c r="F240" s="10"/>
      <c r="G240" s="10"/>
      <c r="H240" s="10"/>
      <c r="I240" s="10"/>
      <c r="J240" s="12"/>
      <c r="K240" s="12"/>
      <c r="L240" s="12"/>
      <c r="M240" s="2"/>
      <c r="N240" s="12"/>
      <c r="O240" s="7"/>
      <c r="P240" s="9"/>
      <c r="Q240" s="9"/>
      <c r="R240" s="10"/>
      <c r="S240" s="12"/>
      <c r="T240" s="12"/>
      <c r="U240" s="12"/>
      <c r="V240" s="10"/>
      <c r="W240" s="10"/>
      <c r="X240" s="10"/>
      <c r="Y240" s="12"/>
      <c r="Z240" s="12"/>
      <c r="AA240" s="7"/>
      <c r="AB240" s="7"/>
      <c r="AC240" s="43"/>
      <c r="AD240" s="63"/>
      <c r="AE240" s="38"/>
      <c r="AF240" s="38"/>
      <c r="AG240" s="38"/>
    </row>
    <row r="241" spans="1:33" x14ac:dyDescent="0.4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</row>
    <row r="242" spans="1:33" x14ac:dyDescent="0.45">
      <c r="A242" s="1"/>
      <c r="B242" s="1"/>
      <c r="C242" s="7"/>
      <c r="D242" s="7"/>
      <c r="E242" s="7"/>
      <c r="F242" s="10"/>
      <c r="G242" s="10"/>
      <c r="H242" s="10"/>
      <c r="I242" s="10"/>
      <c r="J242" s="12"/>
      <c r="K242" s="12"/>
      <c r="L242" s="12"/>
      <c r="M242" s="2"/>
      <c r="N242" s="12"/>
      <c r="O242" s="7"/>
      <c r="P242" s="7"/>
      <c r="Q242" s="7"/>
      <c r="R242" s="12"/>
      <c r="S242" s="12"/>
      <c r="T242" s="12"/>
      <c r="U242" s="12"/>
      <c r="V242" s="10"/>
      <c r="W242" s="12"/>
      <c r="X242" s="10"/>
      <c r="Y242" s="12"/>
      <c r="Z242" s="12"/>
      <c r="AA242" s="7"/>
      <c r="AB242" s="7"/>
      <c r="AC242" s="43"/>
      <c r="AD242" s="63"/>
      <c r="AE242" s="38"/>
      <c r="AF242" s="38"/>
      <c r="AG242" s="38"/>
    </row>
    <row r="243" spans="1:33" ht="14.65" thickBot="1" x14ac:dyDescent="0.5">
      <c r="A243" s="13"/>
      <c r="B243" s="13"/>
      <c r="C243" s="6"/>
      <c r="D243" s="6"/>
      <c r="E243" s="6"/>
      <c r="F243" s="14"/>
      <c r="G243" s="14"/>
      <c r="H243" s="14"/>
      <c r="I243" s="14"/>
      <c r="J243" s="21"/>
      <c r="K243" s="21"/>
      <c r="L243" s="21"/>
      <c r="M243" s="41"/>
      <c r="N243" s="21"/>
      <c r="O243" s="6"/>
      <c r="P243" s="6"/>
      <c r="Q243" s="6"/>
      <c r="R243" s="21"/>
      <c r="S243" s="21"/>
      <c r="T243" s="21"/>
      <c r="U243" s="21"/>
      <c r="V243" s="14"/>
      <c r="W243" s="21"/>
      <c r="X243" s="14"/>
      <c r="Y243" s="21"/>
      <c r="Z243" s="21"/>
      <c r="AA243" s="6"/>
      <c r="AB243" s="6"/>
      <c r="AC243" s="46"/>
      <c r="AD243" s="63"/>
      <c r="AE243" s="38"/>
      <c r="AF243" s="38"/>
      <c r="AG243" s="38"/>
    </row>
    <row r="244" spans="1:33" x14ac:dyDescent="0.4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8"/>
      <c r="AE244" s="88"/>
      <c r="AF244" s="88"/>
      <c r="AG244" s="88"/>
    </row>
    <row r="245" spans="1:33" ht="14.65" thickBot="1" x14ac:dyDescent="0.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87"/>
      <c r="AE245" s="87"/>
      <c r="AF245" s="87"/>
      <c r="AG245" s="87"/>
    </row>
    <row r="246" spans="1:33" ht="15" customHeight="1" x14ac:dyDescent="0.45">
      <c r="A246" s="70" t="s">
        <v>77</v>
      </c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2"/>
    </row>
    <row r="247" spans="1:33" ht="15.75" customHeight="1" thickBot="1" x14ac:dyDescent="0.5">
      <c r="A247" s="73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5"/>
    </row>
    <row r="248" spans="1:33" x14ac:dyDescent="0.45">
      <c r="A248" s="2"/>
      <c r="B248" s="2"/>
      <c r="C248" s="2"/>
      <c r="D248" s="2"/>
      <c r="E248" s="2"/>
      <c r="F248" s="25"/>
      <c r="G248" s="25"/>
      <c r="H248" s="25"/>
      <c r="I248" s="25"/>
      <c r="J248" s="25"/>
      <c r="K248" s="25"/>
      <c r="L248" s="25"/>
      <c r="M248" s="2"/>
      <c r="N248" s="25"/>
      <c r="O248" s="2"/>
      <c r="P248" s="2"/>
      <c r="Q248" s="2"/>
      <c r="R248" s="25"/>
      <c r="S248" s="25"/>
      <c r="T248" s="25"/>
      <c r="U248" s="25"/>
      <c r="V248" s="25"/>
      <c r="W248" s="22"/>
      <c r="X248" s="64"/>
      <c r="Y248" s="22"/>
      <c r="Z248" s="22"/>
      <c r="AA248" s="11"/>
      <c r="AB248" s="11"/>
      <c r="AC248" s="47"/>
      <c r="AD248" s="62"/>
      <c r="AE248" s="39"/>
      <c r="AF248" s="39"/>
      <c r="AG248" s="39"/>
    </row>
    <row r="249" spans="1:33" x14ac:dyDescent="0.45">
      <c r="A249" s="1"/>
      <c r="B249" s="1"/>
      <c r="C249" s="7"/>
      <c r="D249" s="7"/>
      <c r="E249" s="7"/>
      <c r="F249" s="10"/>
      <c r="G249" s="10"/>
      <c r="H249" s="10"/>
      <c r="I249" s="10"/>
      <c r="J249" s="12"/>
      <c r="K249" s="12"/>
      <c r="L249" s="12"/>
      <c r="M249" s="2"/>
      <c r="N249" s="12"/>
      <c r="O249" s="7"/>
      <c r="P249" s="7"/>
      <c r="Q249" s="7"/>
      <c r="R249" s="12"/>
      <c r="S249" s="12"/>
      <c r="T249" s="12"/>
      <c r="U249" s="12"/>
      <c r="V249" s="10"/>
      <c r="W249" s="10"/>
      <c r="X249" s="10"/>
      <c r="Y249" s="12"/>
      <c r="Z249" s="12"/>
      <c r="AA249" s="7"/>
      <c r="AB249" s="7"/>
      <c r="AC249" s="43"/>
      <c r="AD249" s="63"/>
      <c r="AE249" s="38"/>
      <c r="AF249" s="38"/>
      <c r="AG249" s="38"/>
    </row>
    <row r="250" spans="1:33" x14ac:dyDescent="0.4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</row>
    <row r="251" spans="1:33" x14ac:dyDescent="0.45">
      <c r="A251" s="1"/>
      <c r="B251" s="1"/>
      <c r="C251" s="7"/>
      <c r="D251" s="7"/>
      <c r="E251" s="7"/>
      <c r="F251" s="12"/>
      <c r="G251" s="12"/>
      <c r="H251" s="12"/>
      <c r="I251" s="12"/>
      <c r="J251" s="12"/>
      <c r="K251" s="12"/>
      <c r="L251" s="12"/>
      <c r="M251" s="2"/>
      <c r="N251" s="12"/>
      <c r="O251" s="1"/>
      <c r="P251" s="7"/>
      <c r="Q251" s="7"/>
      <c r="R251" s="12"/>
      <c r="S251" s="28"/>
      <c r="T251" s="12"/>
      <c r="U251" s="12"/>
      <c r="V251" s="12"/>
      <c r="W251" s="12"/>
      <c r="X251" s="12"/>
      <c r="Y251" s="12"/>
      <c r="Z251" s="12"/>
      <c r="AA251" s="7"/>
      <c r="AB251" s="7"/>
      <c r="AC251" s="43"/>
      <c r="AD251" s="63"/>
      <c r="AE251" s="38"/>
      <c r="AF251" s="38"/>
      <c r="AG251" s="38"/>
    </row>
    <row r="252" spans="1:33" x14ac:dyDescent="0.45">
      <c r="A252" s="1"/>
      <c r="B252" s="1"/>
      <c r="C252" s="7"/>
      <c r="D252" s="7"/>
      <c r="E252" s="7"/>
      <c r="F252" s="10"/>
      <c r="G252" s="10"/>
      <c r="H252" s="10"/>
      <c r="I252" s="10"/>
      <c r="J252" s="12"/>
      <c r="K252" s="12"/>
      <c r="L252" s="12"/>
      <c r="M252" s="2"/>
      <c r="N252" s="12"/>
      <c r="O252" s="7"/>
      <c r="P252" s="9"/>
      <c r="Q252" s="9"/>
      <c r="R252" s="10"/>
      <c r="S252" s="12"/>
      <c r="T252" s="12"/>
      <c r="U252" s="12"/>
      <c r="V252" s="10"/>
      <c r="W252" s="10"/>
      <c r="X252" s="10"/>
      <c r="Y252" s="12"/>
      <c r="Z252" s="12"/>
      <c r="AA252" s="7"/>
      <c r="AB252" s="7"/>
      <c r="AC252" s="43"/>
      <c r="AD252" s="63"/>
      <c r="AE252" s="38"/>
      <c r="AF252" s="38"/>
      <c r="AG252" s="38"/>
    </row>
    <row r="253" spans="1:33" x14ac:dyDescent="0.4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</row>
    <row r="254" spans="1:33" x14ac:dyDescent="0.45">
      <c r="A254" s="1"/>
      <c r="B254" s="1"/>
      <c r="C254" s="4"/>
      <c r="D254" s="1"/>
      <c r="E254" s="1"/>
      <c r="F254" s="28"/>
      <c r="G254" s="28"/>
      <c r="H254" s="28"/>
      <c r="I254" s="28"/>
      <c r="J254" s="28"/>
      <c r="K254" s="28"/>
      <c r="L254" s="28"/>
      <c r="M254" s="1"/>
      <c r="N254" s="28"/>
      <c r="O254" s="1"/>
      <c r="P254" s="1"/>
      <c r="Q254" s="1"/>
      <c r="R254" s="28"/>
      <c r="S254" s="28"/>
      <c r="T254" s="28"/>
      <c r="U254" s="28"/>
      <c r="V254" s="28"/>
      <c r="W254" s="28"/>
      <c r="X254" s="28"/>
      <c r="Y254" s="28"/>
      <c r="Z254" s="23"/>
      <c r="AA254" s="4"/>
      <c r="AB254" s="4"/>
      <c r="AC254" s="44"/>
      <c r="AD254" s="63"/>
      <c r="AE254" s="38"/>
      <c r="AF254" s="38"/>
      <c r="AG254" s="38"/>
    </row>
    <row r="255" spans="1:33" x14ac:dyDescent="0.45">
      <c r="A255" s="1"/>
      <c r="B255" s="1"/>
      <c r="C255" s="7"/>
      <c r="D255" s="7"/>
      <c r="E255" s="7"/>
      <c r="F255" s="12"/>
      <c r="G255" s="12"/>
      <c r="H255" s="12"/>
      <c r="I255" s="12"/>
      <c r="J255" s="12"/>
      <c r="K255" s="12"/>
      <c r="L255" s="12"/>
      <c r="M255" s="2"/>
      <c r="N255" s="12"/>
      <c r="O255" s="7"/>
      <c r="P255" s="7"/>
      <c r="Q255" s="7"/>
      <c r="R255" s="12"/>
      <c r="S255" s="12"/>
      <c r="T255" s="12"/>
      <c r="U255" s="12"/>
      <c r="V255" s="10"/>
      <c r="W255" s="12"/>
      <c r="X255" s="10"/>
      <c r="Y255" s="12"/>
      <c r="Z255" s="12"/>
      <c r="AA255" s="7"/>
      <c r="AB255" s="7"/>
      <c r="AC255" s="43"/>
      <c r="AD255" s="63"/>
      <c r="AE255" s="38"/>
      <c r="AF255" s="38"/>
      <c r="AG255" s="38"/>
    </row>
    <row r="256" spans="1:33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</row>
    <row r="257" spans="1:33" x14ac:dyDescent="0.45">
      <c r="A257" s="1"/>
      <c r="B257" s="1"/>
      <c r="C257" s="1"/>
      <c r="D257" s="1"/>
      <c r="E257" s="1"/>
      <c r="F257" s="28"/>
      <c r="G257" s="28"/>
      <c r="H257" s="28"/>
      <c r="I257" s="28"/>
      <c r="J257" s="28"/>
      <c r="K257" s="28"/>
      <c r="L257" s="28"/>
      <c r="M257" s="2"/>
      <c r="N257" s="28"/>
      <c r="O257" s="1"/>
      <c r="P257" s="1"/>
      <c r="Q257" s="1"/>
      <c r="R257" s="28"/>
      <c r="S257" s="28"/>
      <c r="T257" s="28"/>
      <c r="U257" s="28"/>
      <c r="V257" s="28"/>
      <c r="W257" s="28"/>
      <c r="X257" s="28"/>
      <c r="Y257" s="12"/>
      <c r="Z257" s="12"/>
      <c r="AA257" s="7"/>
      <c r="AB257" s="7"/>
      <c r="AC257" s="43"/>
      <c r="AD257" s="63"/>
      <c r="AE257" s="38"/>
      <c r="AF257" s="38"/>
      <c r="AG257" s="38"/>
    </row>
    <row r="258" spans="1:33" ht="14.65" thickBot="1" x14ac:dyDescent="0.5">
      <c r="A258" s="1"/>
      <c r="B258" s="1"/>
      <c r="C258" s="7"/>
      <c r="D258" s="7"/>
      <c r="E258" s="7"/>
      <c r="F258" s="10"/>
      <c r="G258" s="10"/>
      <c r="H258" s="10"/>
      <c r="I258" s="10"/>
      <c r="J258" s="12"/>
      <c r="K258" s="12"/>
      <c r="L258" s="12"/>
      <c r="M258" s="41"/>
      <c r="N258" s="12"/>
      <c r="O258" s="7"/>
      <c r="P258" s="7"/>
      <c r="Q258" s="7"/>
      <c r="R258" s="12"/>
      <c r="S258" s="12"/>
      <c r="T258" s="12"/>
      <c r="U258" s="12"/>
      <c r="V258" s="10"/>
      <c r="W258" s="12"/>
      <c r="X258" s="10"/>
      <c r="Y258" s="12"/>
      <c r="Z258" s="12"/>
      <c r="AA258" s="7"/>
      <c r="AB258" s="7"/>
      <c r="AC258" s="43"/>
      <c r="AD258" s="63"/>
      <c r="AE258" s="38"/>
      <c r="AF258" s="38"/>
      <c r="AG258" s="38"/>
    </row>
    <row r="259" spans="1:33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88"/>
      <c r="AE259" s="88"/>
      <c r="AF259" s="88"/>
      <c r="AG259" s="88"/>
    </row>
    <row r="260" spans="1:33" ht="14.65" thickBot="1" x14ac:dyDescent="0.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87"/>
      <c r="AE260" s="87"/>
      <c r="AF260" s="87"/>
      <c r="AG260" s="87"/>
    </row>
    <row r="261" spans="1:33" ht="15" customHeight="1" x14ac:dyDescent="0.45">
      <c r="A261" s="70" t="s">
        <v>92</v>
      </c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2"/>
    </row>
    <row r="262" spans="1:33" ht="15.75" customHeight="1" thickBot="1" x14ac:dyDescent="0.5">
      <c r="A262" s="73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5"/>
    </row>
    <row r="263" spans="1:33" x14ac:dyDescent="0.45">
      <c r="A263" s="2"/>
      <c r="B263" s="2"/>
      <c r="C263" s="2"/>
      <c r="D263" s="2"/>
      <c r="E263" s="2"/>
      <c r="F263" s="25"/>
      <c r="G263" s="25"/>
      <c r="H263" s="25"/>
      <c r="I263" s="25"/>
      <c r="J263" s="25"/>
      <c r="K263" s="25"/>
      <c r="L263" s="25"/>
      <c r="M263" s="2"/>
      <c r="N263" s="25"/>
      <c r="O263" s="2"/>
      <c r="P263" s="2"/>
      <c r="Q263" s="2"/>
      <c r="R263" s="25"/>
      <c r="S263" s="25"/>
      <c r="T263" s="25"/>
      <c r="U263" s="25"/>
      <c r="V263" s="25"/>
      <c r="W263" s="25"/>
      <c r="X263" s="25"/>
      <c r="Y263" s="25"/>
      <c r="Z263" s="25"/>
      <c r="AA263" s="2"/>
      <c r="AB263" s="11"/>
      <c r="AC263" s="47"/>
      <c r="AD263" s="62"/>
      <c r="AE263" s="39"/>
      <c r="AF263" s="39"/>
      <c r="AG263" s="39"/>
    </row>
    <row r="264" spans="1:33" x14ac:dyDescent="0.45">
      <c r="A264" s="1"/>
      <c r="B264" s="1"/>
      <c r="C264" s="1"/>
      <c r="D264" s="1"/>
      <c r="E264" s="1"/>
      <c r="F264" s="28"/>
      <c r="G264" s="28"/>
      <c r="H264" s="28"/>
      <c r="I264" s="28"/>
      <c r="J264" s="28"/>
      <c r="K264" s="28"/>
      <c r="L264" s="28"/>
      <c r="M264" s="1"/>
      <c r="N264" s="28"/>
      <c r="O264" s="1"/>
      <c r="P264" s="1"/>
      <c r="Q264" s="1"/>
      <c r="R264" s="28"/>
      <c r="S264" s="28"/>
      <c r="T264" s="28"/>
      <c r="U264" s="28"/>
      <c r="V264" s="28"/>
      <c r="W264" s="28"/>
      <c r="X264" s="28"/>
      <c r="Y264" s="28"/>
      <c r="Z264" s="28"/>
      <c r="AA264" s="1"/>
      <c r="AB264" s="7"/>
      <c r="AC264" s="43"/>
      <c r="AD264" s="63"/>
      <c r="AE264" s="38"/>
      <c r="AF264" s="38"/>
      <c r="AG264" s="38"/>
    </row>
    <row r="265" spans="1:33" x14ac:dyDescent="0.4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</row>
    <row r="266" spans="1:33" x14ac:dyDescent="0.45">
      <c r="A266" s="1"/>
      <c r="B266" s="1"/>
      <c r="C266" s="1"/>
      <c r="D266" s="1"/>
      <c r="E266" s="1"/>
      <c r="F266" s="28"/>
      <c r="G266" s="28"/>
      <c r="H266" s="28"/>
      <c r="I266" s="28"/>
      <c r="J266" s="28"/>
      <c r="K266" s="28"/>
      <c r="L266" s="28"/>
      <c r="M266" s="2"/>
      <c r="N266" s="28"/>
      <c r="O266" s="1"/>
      <c r="P266" s="1"/>
      <c r="Q266" s="1"/>
      <c r="R266" s="28"/>
      <c r="S266" s="28"/>
      <c r="T266" s="28"/>
      <c r="U266" s="28"/>
      <c r="V266" s="28"/>
      <c r="W266" s="28"/>
      <c r="X266" s="28"/>
      <c r="Y266" s="12"/>
      <c r="Z266" s="12"/>
      <c r="AA266" s="7"/>
      <c r="AB266" s="7"/>
      <c r="AC266" s="43"/>
      <c r="AD266" s="63"/>
      <c r="AE266" s="38"/>
      <c r="AF266" s="38"/>
      <c r="AG266" s="38"/>
    </row>
    <row r="267" spans="1:33" x14ac:dyDescent="0.45">
      <c r="A267" s="1"/>
      <c r="B267" s="1"/>
      <c r="C267" s="1"/>
      <c r="D267" s="1"/>
      <c r="E267" s="1"/>
      <c r="F267" s="28"/>
      <c r="G267" s="28"/>
      <c r="H267" s="28"/>
      <c r="I267" s="28"/>
      <c r="J267" s="28"/>
      <c r="K267" s="28"/>
      <c r="L267" s="28"/>
      <c r="M267" s="2"/>
      <c r="N267" s="28"/>
      <c r="O267" s="1"/>
      <c r="P267" s="1"/>
      <c r="Q267" s="1"/>
      <c r="R267" s="28"/>
      <c r="S267" s="28"/>
      <c r="T267" s="28"/>
      <c r="U267" s="28"/>
      <c r="V267" s="28"/>
      <c r="W267" s="28"/>
      <c r="X267" s="28"/>
      <c r="Y267" s="28"/>
      <c r="Z267" s="23"/>
      <c r="AA267" s="4"/>
      <c r="AB267" s="4"/>
      <c r="AC267" s="44"/>
      <c r="AD267" s="63"/>
      <c r="AE267" s="38"/>
      <c r="AF267" s="38"/>
      <c r="AG267" s="38"/>
    </row>
    <row r="268" spans="1:33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88"/>
      <c r="AE268" s="88"/>
      <c r="AF268" s="88"/>
      <c r="AG268" s="88"/>
    </row>
    <row r="269" spans="1:33" ht="14.65" thickBot="1" x14ac:dyDescent="0.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87"/>
      <c r="AE269" s="87"/>
      <c r="AF269" s="87"/>
      <c r="AG269" s="87"/>
    </row>
    <row r="270" spans="1:33" ht="15" customHeight="1" x14ac:dyDescent="0.45">
      <c r="A270" s="70" t="s">
        <v>78</v>
      </c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2"/>
    </row>
    <row r="271" spans="1:33" ht="15.75" customHeight="1" thickBot="1" x14ac:dyDescent="0.5">
      <c r="A271" s="73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5"/>
    </row>
    <row r="272" spans="1:33" x14ac:dyDescent="0.45">
      <c r="A272" s="39"/>
      <c r="B272" s="39"/>
      <c r="C272" s="39"/>
      <c r="D272" s="39"/>
      <c r="E272" s="39"/>
      <c r="F272" s="62"/>
      <c r="G272" s="62"/>
      <c r="H272" s="62"/>
      <c r="I272" s="62"/>
      <c r="J272" s="62"/>
      <c r="K272" s="62"/>
      <c r="L272" s="62"/>
      <c r="M272" s="2"/>
      <c r="N272" s="62"/>
      <c r="O272" s="39"/>
      <c r="P272" s="39"/>
      <c r="Q272" s="39"/>
      <c r="R272" s="62"/>
      <c r="S272" s="62"/>
      <c r="T272" s="62"/>
      <c r="U272" s="62"/>
      <c r="V272" s="62"/>
      <c r="W272" s="62"/>
      <c r="X272" s="62"/>
      <c r="Y272" s="62"/>
      <c r="Z272" s="39"/>
      <c r="AA272" s="39"/>
      <c r="AB272" s="39"/>
      <c r="AC272" s="39"/>
      <c r="AD272" s="62"/>
      <c r="AE272" s="39"/>
      <c r="AF272" s="39"/>
      <c r="AG272" s="39"/>
    </row>
    <row r="273" spans="1:33" x14ac:dyDescent="0.45">
      <c r="A273" s="38"/>
      <c r="B273" s="38"/>
      <c r="C273" s="38"/>
      <c r="D273" s="38"/>
      <c r="E273" s="38"/>
      <c r="F273" s="63"/>
      <c r="G273" s="63"/>
      <c r="H273" s="63"/>
      <c r="I273" s="63"/>
      <c r="J273" s="63"/>
      <c r="K273" s="63"/>
      <c r="L273" s="63"/>
      <c r="M273" s="2"/>
      <c r="N273" s="63"/>
      <c r="O273" s="38"/>
      <c r="P273" s="38"/>
      <c r="Q273" s="38"/>
      <c r="R273" s="63"/>
      <c r="S273" s="63"/>
      <c r="T273" s="63"/>
      <c r="U273" s="63"/>
      <c r="V273" s="63"/>
      <c r="W273" s="63"/>
      <c r="X273" s="63"/>
      <c r="Y273" s="63"/>
      <c r="Z273" s="38"/>
      <c r="AA273" s="38"/>
      <c r="AB273" s="38"/>
      <c r="AC273" s="38"/>
      <c r="AD273" s="63"/>
      <c r="AE273" s="38"/>
      <c r="AF273" s="38"/>
      <c r="AG273" s="38"/>
    </row>
    <row r="274" spans="1:33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88"/>
      <c r="AE274" s="88"/>
      <c r="AF274" s="88"/>
      <c r="AG274" s="88"/>
    </row>
    <row r="275" spans="1:33" ht="14.65" thickBot="1" x14ac:dyDescent="0.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87"/>
      <c r="AE275" s="87"/>
      <c r="AF275" s="87"/>
      <c r="AG275" s="87"/>
    </row>
    <row r="276" spans="1:33" ht="15" customHeight="1" x14ac:dyDescent="0.45">
      <c r="A276" s="70" t="s">
        <v>103</v>
      </c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2"/>
    </row>
    <row r="277" spans="1:33" ht="15.75" customHeight="1" thickBot="1" x14ac:dyDescent="0.5">
      <c r="A277" s="73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5"/>
    </row>
    <row r="278" spans="1:33" x14ac:dyDescent="0.45">
      <c r="A278" s="39"/>
      <c r="B278" s="39"/>
      <c r="C278" s="39"/>
      <c r="D278" s="39"/>
      <c r="E278" s="39"/>
      <c r="F278" s="62"/>
      <c r="G278" s="62"/>
      <c r="H278" s="62"/>
      <c r="I278" s="62"/>
      <c r="J278" s="62"/>
      <c r="K278" s="62"/>
      <c r="L278" s="62"/>
      <c r="M278" s="2"/>
      <c r="N278" s="62"/>
      <c r="O278" s="39"/>
      <c r="P278" s="39"/>
      <c r="Q278" s="39"/>
      <c r="R278" s="62"/>
      <c r="S278" s="62"/>
      <c r="T278" s="62"/>
      <c r="U278" s="62"/>
      <c r="V278" s="62"/>
      <c r="W278" s="62"/>
      <c r="X278" s="62"/>
      <c r="Y278" s="62"/>
      <c r="Z278" s="39"/>
      <c r="AA278" s="39"/>
      <c r="AB278" s="39"/>
      <c r="AC278" s="39"/>
      <c r="AD278" s="62"/>
      <c r="AE278" s="39"/>
      <c r="AF278" s="39"/>
      <c r="AG278" s="39"/>
    </row>
    <row r="279" spans="1:33" x14ac:dyDescent="0.45">
      <c r="A279" s="38"/>
      <c r="B279" s="38"/>
      <c r="C279" s="38"/>
      <c r="D279" s="38"/>
      <c r="E279" s="38"/>
      <c r="F279" s="63"/>
      <c r="G279" s="63"/>
      <c r="H279" s="63"/>
      <c r="I279" s="63"/>
      <c r="J279" s="63"/>
      <c r="K279" s="63"/>
      <c r="L279" s="63"/>
      <c r="M279" s="63"/>
      <c r="N279" s="63"/>
      <c r="O279" s="38"/>
      <c r="P279" s="38"/>
      <c r="Q279" s="38"/>
      <c r="R279" s="63"/>
      <c r="S279" s="63"/>
      <c r="T279" s="63"/>
      <c r="U279" s="63"/>
      <c r="V279" s="63"/>
      <c r="W279" s="63"/>
      <c r="X279" s="63"/>
      <c r="Y279" s="63"/>
      <c r="Z279" s="38"/>
      <c r="AA279" s="38"/>
      <c r="AB279" s="38"/>
      <c r="AC279" s="38"/>
      <c r="AD279" s="63"/>
      <c r="AE279" s="38"/>
      <c r="AF279" s="38"/>
      <c r="AG279" s="38"/>
    </row>
    <row r="280" spans="1:33" x14ac:dyDescent="0.45">
      <c r="M280" s="29"/>
    </row>
  </sheetData>
  <mergeCells count="139">
    <mergeCell ref="AE66:AG66"/>
    <mergeCell ref="A69:AG70"/>
    <mergeCell ref="A265:AC265"/>
    <mergeCell ref="A268:AC269"/>
    <mergeCell ref="A244:AC245"/>
    <mergeCell ref="A211:AC211"/>
    <mergeCell ref="A214:AC214"/>
    <mergeCell ref="A217:AC218"/>
    <mergeCell ref="A223:AC223"/>
    <mergeCell ref="A226:AC226"/>
    <mergeCell ref="A229:AC229"/>
    <mergeCell ref="A232:AC232"/>
    <mergeCell ref="A235:AC235"/>
    <mergeCell ref="A238:AC238"/>
    <mergeCell ref="A208:AC208"/>
    <mergeCell ref="A175:AC175"/>
    <mergeCell ref="A178:AC178"/>
    <mergeCell ref="A181:AC181"/>
    <mergeCell ref="A184:AC184"/>
    <mergeCell ref="A187:AC187"/>
    <mergeCell ref="A190:AC190"/>
    <mergeCell ref="A193:AC193"/>
    <mergeCell ref="A196:AC196"/>
    <mergeCell ref="A199:AC199"/>
    <mergeCell ref="A202:AC202"/>
    <mergeCell ref="A205:AC205"/>
    <mergeCell ref="A139:AC139"/>
    <mergeCell ref="A142:AC142"/>
    <mergeCell ref="A145:AC145"/>
    <mergeCell ref="A148:AC148"/>
    <mergeCell ref="A151:AC151"/>
    <mergeCell ref="A154:AC154"/>
    <mergeCell ref="A157:AC157"/>
    <mergeCell ref="A160:AC160"/>
    <mergeCell ref="A163:AC163"/>
    <mergeCell ref="A88:AC88"/>
    <mergeCell ref="A91:AC91"/>
    <mergeCell ref="A94:AC94"/>
    <mergeCell ref="A97:AC97"/>
    <mergeCell ref="A136:AC136"/>
    <mergeCell ref="A103:AC103"/>
    <mergeCell ref="A106:AC106"/>
    <mergeCell ref="A109:AC109"/>
    <mergeCell ref="A112:AC112"/>
    <mergeCell ref="A115:AC115"/>
    <mergeCell ref="A118:AC118"/>
    <mergeCell ref="A121:AC121"/>
    <mergeCell ref="A124:AC124"/>
    <mergeCell ref="A127:AC127"/>
    <mergeCell ref="A130:AC130"/>
    <mergeCell ref="A133:AC133"/>
    <mergeCell ref="AD115:AG115"/>
    <mergeCell ref="AD118:AG118"/>
    <mergeCell ref="AD121:AG121"/>
    <mergeCell ref="AD124:AG124"/>
    <mergeCell ref="AD127:AG127"/>
    <mergeCell ref="A67:AG68"/>
    <mergeCell ref="A73:AG73"/>
    <mergeCell ref="A76:AG76"/>
    <mergeCell ref="AD79:AG79"/>
    <mergeCell ref="AD82:AG82"/>
    <mergeCell ref="AD85:AG85"/>
    <mergeCell ref="AD88:AG88"/>
    <mergeCell ref="AD91:AG91"/>
    <mergeCell ref="AD94:AG94"/>
    <mergeCell ref="AD97:AG97"/>
    <mergeCell ref="AD100:AG100"/>
    <mergeCell ref="AD103:AG103"/>
    <mergeCell ref="AD106:AG106"/>
    <mergeCell ref="AD109:AG109"/>
    <mergeCell ref="AD112:AG112"/>
    <mergeCell ref="A100:AC100"/>
    <mergeCell ref="A79:AC79"/>
    <mergeCell ref="A82:AC82"/>
    <mergeCell ref="A85:AC85"/>
    <mergeCell ref="AD145:AG145"/>
    <mergeCell ref="AD148:AG148"/>
    <mergeCell ref="AD151:AG151"/>
    <mergeCell ref="AD154:AG154"/>
    <mergeCell ref="AD157:AG157"/>
    <mergeCell ref="AD130:AG130"/>
    <mergeCell ref="AD133:AG133"/>
    <mergeCell ref="AD136:AG136"/>
    <mergeCell ref="AD139:AG139"/>
    <mergeCell ref="AD142:AG142"/>
    <mergeCell ref="AD175:AG175"/>
    <mergeCell ref="AD178:AG178"/>
    <mergeCell ref="AD181:AG181"/>
    <mergeCell ref="AD184:AG184"/>
    <mergeCell ref="AD187:AG187"/>
    <mergeCell ref="AD160:AG160"/>
    <mergeCell ref="AD163:AG163"/>
    <mergeCell ref="AD166:AG166"/>
    <mergeCell ref="AD167:AG167"/>
    <mergeCell ref="AD172:AG172"/>
    <mergeCell ref="A168:AG169"/>
    <mergeCell ref="A172:AC172"/>
    <mergeCell ref="A166:AC167"/>
    <mergeCell ref="AD205:AG205"/>
    <mergeCell ref="AD208:AG208"/>
    <mergeCell ref="AD211:AG211"/>
    <mergeCell ref="AD214:AG214"/>
    <mergeCell ref="AD217:AG217"/>
    <mergeCell ref="AD190:AG190"/>
    <mergeCell ref="AD193:AG193"/>
    <mergeCell ref="AD196:AG196"/>
    <mergeCell ref="AD199:AG199"/>
    <mergeCell ref="AD202:AG202"/>
    <mergeCell ref="AD235:AG235"/>
    <mergeCell ref="AD238:AG238"/>
    <mergeCell ref="AD241:AG241"/>
    <mergeCell ref="AD244:AG244"/>
    <mergeCell ref="AD245:AG245"/>
    <mergeCell ref="AD218:AG218"/>
    <mergeCell ref="AD223:AG223"/>
    <mergeCell ref="AD226:AG226"/>
    <mergeCell ref="AD229:AG229"/>
    <mergeCell ref="AD232:AG232"/>
    <mergeCell ref="A219:AG220"/>
    <mergeCell ref="A241:AC241"/>
    <mergeCell ref="A276:AG277"/>
    <mergeCell ref="A270:AG271"/>
    <mergeCell ref="A261:AG262"/>
    <mergeCell ref="A246:AG247"/>
    <mergeCell ref="AD265:AG265"/>
    <mergeCell ref="AD268:AG268"/>
    <mergeCell ref="AD269:AG269"/>
    <mergeCell ref="AD274:AG274"/>
    <mergeCell ref="AD275:AG275"/>
    <mergeCell ref="AD250:AG250"/>
    <mergeCell ref="AD253:AG253"/>
    <mergeCell ref="AD256:AG256"/>
    <mergeCell ref="AD259:AG259"/>
    <mergeCell ref="AD260:AG260"/>
    <mergeCell ref="A274:AC275"/>
    <mergeCell ref="A250:AC250"/>
    <mergeCell ref="A253:AC253"/>
    <mergeCell ref="A256:AC256"/>
    <mergeCell ref="A259:AC2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Results</vt:lpstr>
      <vt:lpstr>2024 - 2025</vt:lpstr>
      <vt:lpstr>2025 - 2026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DelCampo</dc:creator>
  <cp:lastModifiedBy>Paul DelCampo</cp:lastModifiedBy>
  <cp:lastPrinted>2025-05-14T16:37:50Z</cp:lastPrinted>
  <dcterms:created xsi:type="dcterms:W3CDTF">2025-03-17T13:21:42Z</dcterms:created>
  <dcterms:modified xsi:type="dcterms:W3CDTF">2025-11-15T16:40:55Z</dcterms:modified>
</cp:coreProperties>
</file>